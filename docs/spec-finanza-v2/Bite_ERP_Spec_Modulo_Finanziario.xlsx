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Principi" sheetId="1" state="visible" r:id="rId1"/>
    <sheet xmlns:r="http://schemas.openxmlformats.org/officeDocument/2006/relationships" name="1. Dimensioni" sheetId="2" state="visible" r:id="rId2"/>
    <sheet xmlns:r="http://schemas.openxmlformats.org/officeDocument/2006/relationships" name="2. Fatti" sheetId="3" state="visible" r:id="rId3"/>
    <sheet xmlns:r="http://schemas.openxmlformats.org/officeDocument/2006/relationships" name="3. Viste &amp; KPI" sheetId="4" state="visible" r:id="rId4"/>
    <sheet xmlns:r="http://schemas.openxmlformats.org/officeDocument/2006/relationships" name="4. Sequenza build" sheetId="5" state="visible" r:id="rId5"/>
    <sheet xmlns:r="http://schemas.openxmlformats.org/officeDocument/2006/relationships" name="5. Pagina Cliente" sheetId="6" state="visible" r:id="rId6"/>
    <sheet xmlns:r="http://schemas.openxmlformats.org/officeDocument/2006/relationships" name="6. Progetti per tipo" sheetId="7" state="visible" r:id="rId7"/>
    <sheet xmlns:r="http://schemas.openxmlformats.org/officeDocument/2006/relationships" name="7. Pagina Progetto" sheetId="8" state="visible" r:id="rId8"/>
    <sheet xmlns:r="http://schemas.openxmlformats.org/officeDocument/2006/relationships" name="8. Risorse per tipologia" sheetId="9" state="visible" r:id="rId9"/>
    <sheet xmlns:r="http://schemas.openxmlformats.org/officeDocument/2006/relationships" name="9. Piano dei conti" sheetId="10" state="visible" r:id="rId10"/>
    <sheet xmlns:r="http://schemas.openxmlformats.org/officeDocument/2006/relationships" name="10. Commessa gestionale" sheetId="11" state="visible" r:id="rId11"/>
    <sheet xmlns:r="http://schemas.openxmlformats.org/officeDocument/2006/relationships" name="11. Tesoreria" sheetId="12" state="visible" r:id="rId12"/>
    <sheet xmlns:r="http://schemas.openxmlformats.org/officeDocument/2006/relationships" name="12. Fatture attive" sheetId="13" state="visible" r:id="rId13"/>
    <sheet xmlns:r="http://schemas.openxmlformats.org/officeDocument/2006/relationships" name="13. Fatture passive" sheetId="14" state="visible" r:id="rId14"/>
    <sheet xmlns:r="http://schemas.openxmlformats.org/officeDocument/2006/relationships" name="14. Fiscalità" sheetId="15" state="visible" r:id="rId15"/>
    <sheet xmlns:r="http://schemas.openxmlformats.org/officeDocument/2006/relationships" name="15. Budget &amp; Forecast" sheetId="16" state="visible" r:id="rId16"/>
    <sheet xmlns:r="http://schemas.openxmlformats.org/officeDocument/2006/relationships" name="16. Preventivatore" sheetId="17" state="visible" r:id="rId17"/>
    <sheet xmlns:r="http://schemas.openxmlformats.org/officeDocument/2006/relationships" name="17. Parametri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3864"/>
      <sz val="10"/>
    </font>
    <font>
      <name val="Arial"/>
      <b val="1"/>
      <sz val="9"/>
    </font>
    <font>
      <b val="1"/>
      <color rgb="00FFFFFF"/>
      <sz val="14"/>
    </font>
    <font>
      <color rgb="00404040"/>
      <sz val="9"/>
    </font>
    <font>
      <b val="1"/>
      <color rgb="00FFFFFF"/>
      <sz val="10"/>
    </font>
    <font>
      <color rgb="00000000"/>
      <sz val="9"/>
    </font>
    <font>
      <b val="1"/>
      <color rgb="00000000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549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4" fillId="10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2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0" fillId="2" borderId="6" applyAlignment="1" pivotButton="0" quotePrefix="0" xfId="0">
      <alignment vertical="center" wrapText="1"/>
    </xf>
    <xf numFmtId="0" fontId="10" fillId="10" borderId="0" applyAlignment="1" pivotButton="0" quotePrefix="0" xfId="0">
      <alignment vertical="center" wrapText="1"/>
    </xf>
    <xf numFmtId="0" fontId="11" fillId="4" borderId="6" applyAlignment="1" pivotButton="0" quotePrefix="0" xfId="0">
      <alignment vertical="top" wrapText="1"/>
    </xf>
    <xf numFmtId="0" fontId="12" fillId="4" borderId="6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85" customWidth="1" min="3" max="3"/>
  </cols>
  <sheetData>
    <row r="1" ht="26" customHeight="1">
      <c r="A1" s="1" t="inlineStr">
        <is>
          <t>Modulo Finanziario — Specifica Architetturale (v1.0)</t>
        </is>
      </c>
    </row>
    <row r="2" ht="28" customHeight="1">
      <c r="A2" s="2" t="inlineStr">
        <is>
          <t>Bite ERP · Sezione Economico-Finanziaria · Progettazione ex-novo · 23/06/2026 · Handoff developer</t>
        </is>
      </c>
    </row>
    <row r="4">
      <c r="A4" s="3" t="inlineStr">
        <is>
          <t>PRINCIPI ARCHITETTURALI (vincolanti)</t>
        </is>
      </c>
    </row>
    <row r="5">
      <c r="A5" s="4" t="inlineStr">
        <is>
          <t>#</t>
        </is>
      </c>
      <c r="B5" s="4" t="inlineStr">
        <is>
          <t>Principio</t>
        </is>
      </c>
      <c r="C5" s="4" t="inlineStr">
        <is>
          <t>Regola operativa per il developer</t>
        </is>
      </c>
    </row>
    <row r="6">
      <c r="A6" s="5" t="inlineStr">
        <is>
          <t>1</t>
        </is>
      </c>
      <c r="B6" s="5" t="inlineStr">
        <is>
          <t>Dati a 3 livelli (no sezioni-silo)</t>
        </is>
      </c>
      <c r="C6" s="5" t="inlineStr">
        <is>
          <t>Le sezioni UI (Tesoreria, Fatturazione, Fiscalità, CE, KPI) sono VISTE su due tabelle di fatti. Non creano tabelle dati proprie. Solo le Dimensioni e i Fatti persistono dati.</t>
        </is>
      </c>
    </row>
    <row r="7">
      <c r="A7" s="6" t="inlineStr">
        <is>
          <t>2</t>
        </is>
      </c>
      <c r="B7" s="6" t="inlineStr">
        <is>
          <t>Libro movimenti unico</t>
        </is>
      </c>
      <c r="C7" s="6" t="inlineStr">
        <is>
          <t>Movimenti bancari (CBI), prima nota, fatture, F24, ricorrenze: alimentano TUTTI la stessa tabella 'movimenti'. Nessun registro parallelo.</t>
        </is>
      </c>
    </row>
    <row r="8">
      <c r="A8" s="5" t="inlineStr">
        <is>
          <t>3</t>
        </is>
      </c>
      <c r="B8" s="5" t="inlineStr">
        <is>
          <t>Doppia data su ogni movimento</t>
        </is>
      </c>
      <c r="C8" s="5" t="inlineStr">
        <is>
          <t>Ogni movimento ha data_competenza E data_cassa. La prima alimenta il Conto Economico, la seconda la Tesoreria. È la chiave per avere entrambe le viste da una sola fonte.</t>
        </is>
      </c>
    </row>
    <row r="9">
      <c r="A9" s="6" t="inlineStr">
        <is>
          <t>4</t>
        </is>
      </c>
      <c r="B9" s="6" t="inlineStr">
        <is>
          <t>Fonte unica di verità sul margine</t>
        </is>
      </c>
      <c r="C9" s="6" t="inlineStr">
        <is>
          <t>Il margine si calcola UNA volta a livello commessa; il CE gestionale e i KPI sono roll-up di quel dato. Vietato ricalcolare il margine con logiche diverse.</t>
        </is>
      </c>
    </row>
    <row r="10">
      <c r="A10" s="5" t="inlineStr">
        <is>
          <t>5</t>
        </is>
      </c>
      <c r="B10" s="5" t="inlineStr">
        <is>
          <t>Confine FIC: leggere/registrare, non ricalcolare</t>
        </is>
      </c>
      <c r="C10" s="5" t="inlineStr">
        <is>
          <t>Fatture, anagrafiche fiscali e IVA provengono da FIC in sola lettura. L'ERP le registra per cassa/CE ma NON rifà la liquidazione fiscale.</t>
        </is>
      </c>
    </row>
    <row r="11">
      <c r="A11" s="6" t="inlineStr">
        <is>
          <t>6</t>
        </is>
      </c>
      <c r="B11" s="6" t="inlineStr">
        <is>
          <t>Confine commercialista</t>
        </is>
      </c>
      <c r="C11" s="6" t="inlineStr">
        <is>
          <t>IVA e imposte sono REGISTRATE a fini previsionali di cassa. La fonte di verità del calcolo fiscale resta il commercialista.</t>
        </is>
      </c>
    </row>
    <row r="12">
      <c r="A12" s="5" t="inlineStr">
        <is>
          <t>7</t>
        </is>
      </c>
      <c r="B12" s="5" t="inlineStr">
        <is>
          <t>Audit e permessi</t>
        </is>
      </c>
      <c r="C12" s="5" t="inlineStr">
        <is>
          <t>Ogni inserimento manuale (prima nota su tutti) registra created_by + created_at + log modifiche. Ruoli: chi può inserire/approvare/leggere.</t>
        </is>
      </c>
    </row>
    <row r="13">
      <c r="A13" s="6" t="inlineStr">
        <is>
          <t>8</t>
        </is>
      </c>
      <c r="B13" s="6" t="inlineStr">
        <is>
          <t>Attributo fisso/variabile</t>
        </is>
      </c>
      <c r="C13" s="6" t="inlineStr">
        <is>
          <t>Ogni categoria contabile è taggata fisso vs variabile: requisito per calcolare BEP, costi fissi e margine di contribuzione.</t>
        </is>
      </c>
    </row>
    <row r="14">
      <c r="A14" s="5" t="inlineStr">
        <is>
          <t>9</t>
        </is>
      </c>
      <c r="B14" s="5" t="inlineStr">
        <is>
          <t>Collaboratori a fattura: costo una volta sola</t>
        </is>
      </c>
      <c r="C14" s="5" t="inlineStr">
        <is>
          <t>Un collaboratore che fattura è Risorsa + Fornitore collegati (risorsa_id). La fattura passiva è il costo reale (cassa+CE); il timesheet è solo driver di allocazione sulle commesse. Mai sommare i due come costo.</t>
        </is>
      </c>
    </row>
    <row r="16">
      <c r="A16" s="7" t="inlineStr">
        <is>
          <t>LEGENDA COLORE COLONNA 'FONTE'</t>
        </is>
      </c>
    </row>
    <row r="17">
      <c r="B17" s="8" t="inlineStr">
        <is>
          <t>FIC (read-only)</t>
        </is>
      </c>
    </row>
    <row r="18">
      <c r="B18" s="9" t="inlineStr">
        <is>
          <t>Banca (import e/c)</t>
        </is>
      </c>
    </row>
    <row r="19">
      <c r="B19" s="10" t="inlineStr">
        <is>
          <t>ERP / Utente (gestito)</t>
        </is>
      </c>
    </row>
    <row r="20">
      <c r="B20" s="11" t="inlineStr">
        <is>
          <t>Calcolato (vista)</t>
        </is>
      </c>
    </row>
    <row r="21">
      <c r="A21" s="25" t="inlineStr">
        <is>
          <t>R</t>
        </is>
      </c>
      <c r="B21" t="inlineStr">
        <is>
          <t>Arrotondamento e quadratura</t>
        </is>
      </c>
      <c r="C21" t="inlineStr">
        <is>
          <t>Importi a 2 decimali half-up; nei riparti a totale il resto va all'ultima quota (Σ quote = totale). Coefficienti a piena precisione: si arrotonda il risultato. §14, invariante 23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4" customWidth="1" min="4" max="4"/>
    <col width="7" customWidth="1" min="5" max="5"/>
    <col width="52" customWidth="1" min="6" max="6"/>
  </cols>
  <sheetData>
    <row r="1" ht="26" customHeight="1">
      <c r="A1" s="1" t="inlineStr">
        <is>
          <t>Livello 1 — Dimensioni (Anagrafiche)</t>
        </is>
      </c>
    </row>
    <row r="2" ht="28" customHeight="1">
      <c r="A2" s="2" t="inlineStr">
        <is>
          <t>Entità di riferimento. Una riga per campo. 'Fonte' = chi possiede il dato.</t>
        </is>
      </c>
    </row>
    <row r="4">
      <c r="A4" s="4" t="inlineStr">
        <is>
          <t>Dimensione</t>
        </is>
      </c>
      <c r="B4" s="4" t="inlineStr">
        <is>
          <t>Campo</t>
        </is>
      </c>
      <c r="C4" s="4" t="inlineStr">
        <is>
          <t>Tipo</t>
        </is>
      </c>
      <c r="D4" s="4" t="inlineStr">
        <is>
          <t>Fonte</t>
        </is>
      </c>
      <c r="E4" s="4" t="inlineStr">
        <is>
          <t>Obbl.</t>
        </is>
      </c>
      <c r="F4" s="4" t="inlineStr">
        <is>
          <t>Note / Vincoli</t>
        </is>
      </c>
    </row>
    <row r="5" ht="18" customHeight="1">
      <c r="A5" s="12" t="inlineStr">
        <is>
          <t>CLIENTI</t>
        </is>
      </c>
      <c r="B5" s="17" t="n"/>
      <c r="C5" s="17" t="n"/>
      <c r="D5" s="17" t="n"/>
      <c r="E5" s="17" t="n"/>
      <c r="F5" s="18" t="n"/>
    </row>
    <row r="6">
      <c r="A6" s="5" t="inlineStr">
        <is>
          <t>Clienti</t>
        </is>
      </c>
      <c r="B6" s="5" t="inlineStr">
        <is>
          <t>id</t>
        </is>
      </c>
      <c r="C6" s="5" t="inlineStr">
        <is>
          <t>PK int</t>
        </is>
      </c>
      <c r="D6" s="13" t="inlineStr">
        <is>
          <t>ERP</t>
        </is>
      </c>
      <c r="E6" s="5" t="inlineStr">
        <is>
          <t>Sì</t>
        </is>
      </c>
      <c r="F6" s="5" t="inlineStr">
        <is>
          <t>Chiave interna ERP</t>
        </is>
      </c>
    </row>
    <row r="7">
      <c r="A7" s="6" t="inlineStr">
        <is>
          <t>Clienti</t>
        </is>
      </c>
      <c r="B7" s="6" t="inlineStr">
        <is>
          <t>denominazione</t>
        </is>
      </c>
      <c r="C7" s="6" t="inlineStr">
        <is>
          <t>string</t>
        </is>
      </c>
      <c r="D7" s="14" t="inlineStr">
        <is>
          <t>FIC</t>
        </is>
      </c>
      <c r="E7" s="6" t="inlineStr">
        <is>
          <t>Sì</t>
        </is>
      </c>
      <c r="F7" s="6" t="inlineStr">
        <is>
          <t>Se Tipologia=Persona, l'export riporta SOLO Denominazione (non Nome/Cognome). Es. Health City S.r.l.</t>
        </is>
      </c>
    </row>
    <row r="8">
      <c r="A8" s="5" t="inlineStr">
        <is>
          <t>Clienti</t>
        </is>
      </c>
      <c r="B8" s="5" t="inlineStr">
        <is>
          <t>codice_interno</t>
        </is>
      </c>
      <c r="C8" s="5" t="inlineStr">
        <is>
          <t>string</t>
        </is>
      </c>
      <c r="D8" s="14" t="inlineStr">
        <is>
          <t>FIC</t>
        </is>
      </c>
      <c r="E8" s="5" t="inlineStr">
        <is>
          <t>Sì</t>
        </is>
      </c>
      <c r="F8" s="5" t="inlineStr">
        <is>
          <t>Codice interno FIC, usato come chiave di mapping. Es. 29</t>
        </is>
      </c>
    </row>
    <row r="9">
      <c r="A9" s="6" t="inlineStr">
        <is>
          <t>Clienti</t>
        </is>
      </c>
      <c r="B9" s="6" t="inlineStr">
        <is>
          <t>indirizzo</t>
        </is>
      </c>
      <c r="C9" s="6" t="inlineStr">
        <is>
          <t>string</t>
        </is>
      </c>
      <c r="D9" s="14" t="inlineStr">
        <is>
          <t>FIC</t>
        </is>
      </c>
      <c r="E9" s="6" t="inlineStr">
        <is>
          <t>No</t>
        </is>
      </c>
      <c r="F9" s="6" t="inlineStr">
        <is>
          <t>Es. Via A.B. Nobel 11/A</t>
        </is>
      </c>
    </row>
    <row r="10">
      <c r="A10" s="5" t="inlineStr">
        <is>
          <t>Clienti</t>
        </is>
      </c>
      <c r="B10" s="5" t="inlineStr">
        <is>
          <t>citta</t>
        </is>
      </c>
      <c r="C10" s="5" t="inlineStr">
        <is>
          <t>string</t>
        </is>
      </c>
      <c r="D10" s="14" t="inlineStr">
        <is>
          <t>FIC</t>
        </is>
      </c>
      <c r="E10" s="5" t="inlineStr">
        <is>
          <t>No</t>
        </is>
      </c>
      <c r="F10" s="5" t="inlineStr">
        <is>
          <t>Es. Parma</t>
        </is>
      </c>
    </row>
    <row r="11">
      <c r="A11" s="6" t="inlineStr">
        <is>
          <t>Clienti</t>
        </is>
      </c>
      <c r="B11" s="6" t="inlineStr">
        <is>
          <t>cap</t>
        </is>
      </c>
      <c r="C11" s="6" t="inlineStr">
        <is>
          <t>string</t>
        </is>
      </c>
      <c r="D11" s="14" t="inlineStr">
        <is>
          <t>FIC</t>
        </is>
      </c>
      <c r="E11" s="6" t="inlineStr">
        <is>
          <t>No</t>
        </is>
      </c>
      <c r="F11" s="6" t="inlineStr">
        <is>
          <t>Es. 43122</t>
        </is>
      </c>
    </row>
    <row r="12">
      <c r="A12" s="5" t="inlineStr">
        <is>
          <t>Clienti</t>
        </is>
      </c>
      <c r="B12" s="5" t="inlineStr">
        <is>
          <t>provincia</t>
        </is>
      </c>
      <c r="C12" s="5" t="inlineStr">
        <is>
          <t>string</t>
        </is>
      </c>
      <c r="D12" s="14" t="inlineStr">
        <is>
          <t>FIC</t>
        </is>
      </c>
      <c r="E12" s="5" t="inlineStr">
        <is>
          <t>No</t>
        </is>
      </c>
      <c r="F12" s="5" t="inlineStr">
        <is>
          <t>Es. PR</t>
        </is>
      </c>
    </row>
    <row r="13">
      <c r="A13" s="6" t="inlineStr">
        <is>
          <t>Clienti</t>
        </is>
      </c>
      <c r="B13" s="6" t="inlineStr">
        <is>
          <t>indirizzo_extra</t>
        </is>
      </c>
      <c r="C13" s="6" t="inlineStr">
        <is>
          <t>string</t>
        </is>
      </c>
      <c r="D13" s="14" t="inlineStr">
        <is>
          <t>FIC</t>
        </is>
      </c>
      <c r="E13" s="6" t="inlineStr">
        <is>
          <t>No</t>
        </is>
      </c>
      <c r="F13" s="6" t="inlineStr"/>
    </row>
    <row r="14">
      <c r="A14" s="5" t="inlineStr">
        <is>
          <t>Clienti</t>
        </is>
      </c>
      <c r="B14" s="5" t="inlineStr">
        <is>
          <t>paese</t>
        </is>
      </c>
      <c r="C14" s="5" t="inlineStr">
        <is>
          <t>string</t>
        </is>
      </c>
      <c r="D14" s="14" t="inlineStr">
        <is>
          <t>FIC</t>
        </is>
      </c>
      <c r="E14" s="5" t="inlineStr">
        <is>
          <t>No</t>
        </is>
      </c>
      <c r="F14" s="5" t="inlineStr">
        <is>
          <t>Es. Italia</t>
        </is>
      </c>
    </row>
    <row r="15">
      <c r="A15" s="6" t="inlineStr">
        <is>
          <t>Clienti</t>
        </is>
      </c>
      <c r="B15" s="6" t="inlineStr">
        <is>
          <t>email</t>
        </is>
      </c>
      <c r="C15" s="6" t="inlineStr">
        <is>
          <t>string</t>
        </is>
      </c>
      <c r="D15" s="14" t="inlineStr">
        <is>
          <t>FIC</t>
        </is>
      </c>
      <c r="E15" s="6" t="inlineStr">
        <is>
          <t>No</t>
        </is>
      </c>
      <c r="F15" s="6" t="inlineStr">
        <is>
          <t>Es. direzione@healthcity.it</t>
        </is>
      </c>
    </row>
    <row r="16">
      <c r="A16" s="5" t="inlineStr">
        <is>
          <t>Clienti</t>
        </is>
      </c>
      <c r="B16" s="5" t="inlineStr">
        <is>
          <t>referente</t>
        </is>
      </c>
      <c r="C16" s="5" t="inlineStr">
        <is>
          <t>string</t>
        </is>
      </c>
      <c r="D16" s="14" t="inlineStr">
        <is>
          <t>FIC</t>
        </is>
      </c>
      <c r="E16" s="5" t="inlineStr">
        <is>
          <t>No</t>
        </is>
      </c>
      <c r="F16" s="5" t="inlineStr">
        <is>
          <t>Es. Domenico La Delfa</t>
        </is>
      </c>
    </row>
    <row r="17">
      <c r="A17" s="6" t="inlineStr">
        <is>
          <t>Clienti</t>
        </is>
      </c>
      <c r="B17" s="6" t="inlineStr">
        <is>
          <t>telefono</t>
        </is>
      </c>
      <c r="C17" s="6" t="inlineStr">
        <is>
          <t>string</t>
        </is>
      </c>
      <c r="D17" s="14" t="inlineStr">
        <is>
          <t>FIC</t>
        </is>
      </c>
      <c r="E17" s="6" t="inlineStr">
        <is>
          <t>No</t>
        </is>
      </c>
      <c r="F17" s="6" t="inlineStr">
        <is>
          <t>Es. 0521483233</t>
        </is>
      </c>
    </row>
    <row r="18">
      <c r="A18" s="5" t="inlineStr">
        <is>
          <t>Clienti</t>
        </is>
      </c>
      <c r="B18" s="5" t="inlineStr">
        <is>
          <t>piva_taxid</t>
        </is>
      </c>
      <c r="C18" s="5" t="inlineStr">
        <is>
          <t>string</t>
        </is>
      </c>
      <c r="D18" s="14" t="inlineStr">
        <is>
          <t>FIC</t>
        </is>
      </c>
      <c r="E18" s="5" t="inlineStr">
        <is>
          <t>Sì</t>
        </is>
      </c>
      <c r="F18" s="5" t="inlineStr">
        <is>
          <t>P.IVA / TAX ID. Es. 02983950342</t>
        </is>
      </c>
    </row>
    <row r="19">
      <c r="A19" s="6" t="inlineStr">
        <is>
          <t>Clienti</t>
        </is>
      </c>
      <c r="B19" s="6" t="inlineStr">
        <is>
          <t>codice_fiscale</t>
        </is>
      </c>
      <c r="C19" s="6" t="inlineStr">
        <is>
          <t>string</t>
        </is>
      </c>
      <c r="D19" s="14" t="inlineStr">
        <is>
          <t>FIC</t>
        </is>
      </c>
      <c r="E19" s="6" t="inlineStr">
        <is>
          <t>No</t>
        </is>
      </c>
      <c r="F19" s="6" t="inlineStr">
        <is>
          <t>Es. 02983950342</t>
        </is>
      </c>
    </row>
    <row r="20">
      <c r="A20" s="5" t="inlineStr">
        <is>
          <t>Clienti</t>
        </is>
      </c>
      <c r="B20" s="5" t="inlineStr">
        <is>
          <t>note_extra</t>
        </is>
      </c>
      <c r="C20" s="5" t="inlineStr">
        <is>
          <t>text</t>
        </is>
      </c>
      <c r="D20" s="14" t="inlineStr">
        <is>
          <t>FIC</t>
        </is>
      </c>
      <c r="E20" s="5" t="inlineStr">
        <is>
          <t>No</t>
        </is>
      </c>
      <c r="F20" s="5" t="inlineStr"/>
    </row>
    <row r="21">
      <c r="A21" s="6" t="inlineStr">
        <is>
          <t>Clienti</t>
        </is>
      </c>
      <c r="B21" s="6" t="inlineStr">
        <is>
          <t>email_pec</t>
        </is>
      </c>
      <c r="C21" s="6" t="inlineStr">
        <is>
          <t>string</t>
        </is>
      </c>
      <c r="D21" s="14" t="inlineStr">
        <is>
          <t>FIC</t>
        </is>
      </c>
      <c r="E21" s="6" t="inlineStr">
        <is>
          <t>No</t>
        </is>
      </c>
      <c r="F21" s="6" t="inlineStr">
        <is>
          <t>Es. healthcity@pec.it</t>
        </is>
      </c>
    </row>
    <row r="22">
      <c r="A22" s="5" t="inlineStr">
        <is>
          <t>Clienti</t>
        </is>
      </c>
      <c r="B22" s="5" t="inlineStr">
        <is>
          <t>codice_sdi</t>
        </is>
      </c>
      <c r="C22" s="5" t="inlineStr">
        <is>
          <t>string</t>
        </is>
      </c>
      <c r="D22" s="14" t="inlineStr">
        <is>
          <t>FIC</t>
        </is>
      </c>
      <c r="E22" s="5" t="inlineStr">
        <is>
          <t>No</t>
        </is>
      </c>
      <c r="F22" s="5" t="inlineStr">
        <is>
          <t>Es. 0G6TBBX</t>
        </is>
      </c>
    </row>
    <row r="23">
      <c r="A23" s="6" t="inlineStr">
        <is>
          <t>Clienti</t>
        </is>
      </c>
      <c r="B23" s="6" t="inlineStr">
        <is>
          <t>termini_pagamento</t>
        </is>
      </c>
      <c r="C23" s="6" t="inlineStr">
        <is>
          <t>int (gg)</t>
        </is>
      </c>
      <c r="D23" s="13" t="inlineStr">
        <is>
          <t>ERP</t>
        </is>
      </c>
      <c r="E23" s="6" t="inlineStr">
        <is>
          <t>Sì</t>
        </is>
      </c>
      <c r="F23" s="6" t="inlineStr">
        <is>
          <t>Default 30gg. Base per generare le scadenze attese</t>
        </is>
      </c>
    </row>
    <row r="24">
      <c r="A24" s="5" t="inlineStr">
        <is>
          <t>Clienti</t>
        </is>
      </c>
      <c r="B24" s="5" t="inlineStr">
        <is>
          <t>dso_comportamentale</t>
        </is>
      </c>
      <c r="C24" s="5" t="inlineStr">
        <is>
          <t>decimal (gg)</t>
        </is>
      </c>
      <c r="D24" s="15" t="inlineStr">
        <is>
          <t>CALCOLATO</t>
        </is>
      </c>
      <c r="E24" s="5" t="inlineStr">
        <is>
          <t>No</t>
        </is>
      </c>
      <c r="F24" s="5" t="inlineStr">
        <is>
          <t>Giorni medi DA DATA FATTURA a data incasso. Fallback: DSO medio aziendale se non c'è storico. Comportamentale per cliente; distinto dal DSO aziendale (KPI, foglio 3). Base per data_incasso_attesa (foglio 12)</t>
        </is>
      </c>
    </row>
    <row r="25">
      <c r="A25" s="6" t="inlineStr">
        <is>
          <t>Clienti</t>
        </is>
      </c>
      <c r="B25" s="6" t="inlineStr">
        <is>
          <t>condizioni_pagamento</t>
        </is>
      </c>
      <c r="C25" s="6" t="inlineStr">
        <is>
          <t>enum</t>
        </is>
      </c>
      <c r="D25" s="13" t="inlineStr">
        <is>
          <t>ERP</t>
        </is>
      </c>
      <c r="E25" s="6" t="inlineStr">
        <is>
          <t>Sì</t>
        </is>
      </c>
      <c r="F25" s="6" t="inlineStr">
        <is>
          <t>fattura anticipata / fattura posticipata / Ri.Ba</t>
        </is>
      </c>
    </row>
    <row r="26">
      <c r="A26" s="5" t="inlineStr">
        <is>
          <t>Clienti</t>
        </is>
      </c>
      <c r="B26" s="5" t="inlineStr">
        <is>
          <t>stato</t>
        </is>
      </c>
      <c r="C26" s="5" t="inlineStr">
        <is>
          <t>enum</t>
        </is>
      </c>
      <c r="D26" s="13" t="inlineStr">
        <is>
          <t>ERP</t>
        </is>
      </c>
      <c r="E26" s="5" t="inlineStr">
        <is>
          <t>No</t>
        </is>
      </c>
      <c r="F26" s="5" t="inlineStr">
        <is>
          <t>attivo / sospeso / chiuso</t>
        </is>
      </c>
    </row>
    <row r="27" ht="18" customHeight="1">
      <c r="A27" s="12" t="inlineStr">
        <is>
          <t>FORNITORI</t>
        </is>
      </c>
      <c r="B27" s="17" t="n"/>
      <c r="C27" s="17" t="n"/>
      <c r="D27" s="17" t="n"/>
      <c r="E27" s="17" t="n"/>
      <c r="F27" s="18" t="n"/>
    </row>
    <row r="28">
      <c r="A28" s="5" t="inlineStr">
        <is>
          <t>Fornitori</t>
        </is>
      </c>
      <c r="B28" s="5" t="inlineStr">
        <is>
          <t>id</t>
        </is>
      </c>
      <c r="C28" s="5" t="inlineStr">
        <is>
          <t>PK int</t>
        </is>
      </c>
      <c r="D28" s="13" t="inlineStr">
        <is>
          <t>ERP</t>
        </is>
      </c>
      <c r="E28" s="5" t="inlineStr">
        <is>
          <t>Sì</t>
        </is>
      </c>
      <c r="F28" s="5" t="inlineStr">
        <is>
          <t>Chiave interna ERP</t>
        </is>
      </c>
    </row>
    <row r="29">
      <c r="A29" s="6" t="inlineStr">
        <is>
          <t>Fornitori</t>
        </is>
      </c>
      <c r="B29" s="6" t="inlineStr">
        <is>
          <t>denominazione</t>
        </is>
      </c>
      <c r="C29" s="6" t="inlineStr">
        <is>
          <t>string</t>
        </is>
      </c>
      <c r="D29" s="14" t="inlineStr">
        <is>
          <t>FIC</t>
        </is>
      </c>
      <c r="E29" s="6" t="inlineStr">
        <is>
          <t>Sì</t>
        </is>
      </c>
      <c r="F29" s="6" t="inlineStr"/>
    </row>
    <row r="30">
      <c r="A30" s="5" t="inlineStr">
        <is>
          <t>Fornitori</t>
        </is>
      </c>
      <c r="B30" s="5" t="inlineStr">
        <is>
          <t>codice_interno</t>
        </is>
      </c>
      <c r="C30" s="5" t="inlineStr">
        <is>
          <t>string</t>
        </is>
      </c>
      <c r="D30" s="14" t="inlineStr">
        <is>
          <t>FIC</t>
        </is>
      </c>
      <c r="E30" s="5" t="inlineStr">
        <is>
          <t>Sì</t>
        </is>
      </c>
      <c r="F30" s="5" t="inlineStr">
        <is>
          <t>Codice interno FIC, chiave di mapping</t>
        </is>
      </c>
    </row>
    <row r="31">
      <c r="A31" s="6" t="inlineStr">
        <is>
          <t>Fornitori</t>
        </is>
      </c>
      <c r="B31" s="6" t="inlineStr">
        <is>
          <t>indirizzo</t>
        </is>
      </c>
      <c r="C31" s="6" t="inlineStr">
        <is>
          <t>string</t>
        </is>
      </c>
      <c r="D31" s="14" t="inlineStr">
        <is>
          <t>FIC</t>
        </is>
      </c>
      <c r="E31" s="6" t="inlineStr">
        <is>
          <t>No</t>
        </is>
      </c>
      <c r="F31" s="6" t="inlineStr"/>
    </row>
    <row r="32">
      <c r="A32" s="5" t="inlineStr">
        <is>
          <t>Fornitori</t>
        </is>
      </c>
      <c r="B32" s="5" t="inlineStr">
        <is>
          <t>citta</t>
        </is>
      </c>
      <c r="C32" s="5" t="inlineStr">
        <is>
          <t>string</t>
        </is>
      </c>
      <c r="D32" s="14" t="inlineStr">
        <is>
          <t>FIC</t>
        </is>
      </c>
      <c r="E32" s="5" t="inlineStr">
        <is>
          <t>No</t>
        </is>
      </c>
      <c r="F32" s="5" t="inlineStr"/>
    </row>
    <row r="33">
      <c r="A33" s="6" t="inlineStr">
        <is>
          <t>Fornitori</t>
        </is>
      </c>
      <c r="B33" s="6" t="inlineStr">
        <is>
          <t>cap</t>
        </is>
      </c>
      <c r="C33" s="6" t="inlineStr">
        <is>
          <t>string</t>
        </is>
      </c>
      <c r="D33" s="14" t="inlineStr">
        <is>
          <t>FIC</t>
        </is>
      </c>
      <c r="E33" s="6" t="inlineStr">
        <is>
          <t>No</t>
        </is>
      </c>
      <c r="F33" s="6" t="inlineStr"/>
    </row>
    <row r="34">
      <c r="A34" s="5" t="inlineStr">
        <is>
          <t>Fornitori</t>
        </is>
      </c>
      <c r="B34" s="5" t="inlineStr">
        <is>
          <t>provincia</t>
        </is>
      </c>
      <c r="C34" s="5" t="inlineStr">
        <is>
          <t>string</t>
        </is>
      </c>
      <c r="D34" s="14" t="inlineStr">
        <is>
          <t>FIC</t>
        </is>
      </c>
      <c r="E34" s="5" t="inlineStr">
        <is>
          <t>No</t>
        </is>
      </c>
      <c r="F34" s="5" t="inlineStr"/>
    </row>
    <row r="35">
      <c r="A35" s="6" t="inlineStr">
        <is>
          <t>Fornitori</t>
        </is>
      </c>
      <c r="B35" s="6" t="inlineStr">
        <is>
          <t>indirizzo_extra</t>
        </is>
      </c>
      <c r="C35" s="6" t="inlineStr">
        <is>
          <t>string</t>
        </is>
      </c>
      <c r="D35" s="14" t="inlineStr">
        <is>
          <t>FIC</t>
        </is>
      </c>
      <c r="E35" s="6" t="inlineStr">
        <is>
          <t>No</t>
        </is>
      </c>
      <c r="F35" s="6" t="inlineStr"/>
    </row>
    <row r="36">
      <c r="A36" s="5" t="inlineStr">
        <is>
          <t>Fornitori</t>
        </is>
      </c>
      <c r="B36" s="5" t="inlineStr">
        <is>
          <t>paese</t>
        </is>
      </c>
      <c r="C36" s="5" t="inlineStr">
        <is>
          <t>string</t>
        </is>
      </c>
      <c r="D36" s="14" t="inlineStr">
        <is>
          <t>FIC</t>
        </is>
      </c>
      <c r="E36" s="5" t="inlineStr">
        <is>
          <t>No</t>
        </is>
      </c>
      <c r="F36" s="5" t="inlineStr"/>
    </row>
    <row r="37">
      <c r="A37" s="6" t="inlineStr">
        <is>
          <t>Fornitori</t>
        </is>
      </c>
      <c r="B37" s="6" t="inlineStr">
        <is>
          <t>email</t>
        </is>
      </c>
      <c r="C37" s="6" t="inlineStr">
        <is>
          <t>string</t>
        </is>
      </c>
      <c r="D37" s="14" t="inlineStr">
        <is>
          <t>FIC</t>
        </is>
      </c>
      <c r="E37" s="6" t="inlineStr">
        <is>
          <t>No</t>
        </is>
      </c>
      <c r="F37" s="6" t="inlineStr"/>
    </row>
    <row r="38">
      <c r="A38" s="5" t="inlineStr">
        <is>
          <t>Fornitori</t>
        </is>
      </c>
      <c r="B38" s="5" t="inlineStr">
        <is>
          <t>referente</t>
        </is>
      </c>
      <c r="C38" s="5" t="inlineStr">
        <is>
          <t>string</t>
        </is>
      </c>
      <c r="D38" s="14" t="inlineStr">
        <is>
          <t>FIC</t>
        </is>
      </c>
      <c r="E38" s="5" t="inlineStr">
        <is>
          <t>No</t>
        </is>
      </c>
      <c r="F38" s="5" t="inlineStr"/>
    </row>
    <row r="39">
      <c r="A39" s="6" t="inlineStr">
        <is>
          <t>Fornitori</t>
        </is>
      </c>
      <c r="B39" s="6" t="inlineStr">
        <is>
          <t>telefono</t>
        </is>
      </c>
      <c r="C39" s="6" t="inlineStr">
        <is>
          <t>string</t>
        </is>
      </c>
      <c r="D39" s="14" t="inlineStr">
        <is>
          <t>FIC</t>
        </is>
      </c>
      <c r="E39" s="6" t="inlineStr">
        <is>
          <t>No</t>
        </is>
      </c>
      <c r="F39" s="6" t="inlineStr"/>
    </row>
    <row r="40">
      <c r="A40" s="5" t="inlineStr">
        <is>
          <t>Fornitori</t>
        </is>
      </c>
      <c r="B40" s="5" t="inlineStr">
        <is>
          <t>piva_taxid</t>
        </is>
      </c>
      <c r="C40" s="5" t="inlineStr">
        <is>
          <t>string</t>
        </is>
      </c>
      <c r="D40" s="14" t="inlineStr">
        <is>
          <t>FIC</t>
        </is>
      </c>
      <c r="E40" s="5" t="inlineStr">
        <is>
          <t>Sì</t>
        </is>
      </c>
      <c r="F40" s="5" t="inlineStr">
        <is>
          <t>P.IVA / TAX ID</t>
        </is>
      </c>
    </row>
    <row r="41">
      <c r="A41" s="6" t="inlineStr">
        <is>
          <t>Fornitori</t>
        </is>
      </c>
      <c r="B41" s="6" t="inlineStr">
        <is>
          <t>codice_fiscale</t>
        </is>
      </c>
      <c r="C41" s="6" t="inlineStr">
        <is>
          <t>string</t>
        </is>
      </c>
      <c r="D41" s="14" t="inlineStr">
        <is>
          <t>FIC</t>
        </is>
      </c>
      <c r="E41" s="6" t="inlineStr">
        <is>
          <t>No</t>
        </is>
      </c>
      <c r="F41" s="6" t="inlineStr"/>
    </row>
    <row r="42">
      <c r="A42" s="5" t="inlineStr">
        <is>
          <t>Fornitori</t>
        </is>
      </c>
      <c r="B42" s="5" t="inlineStr">
        <is>
          <t>note_extra</t>
        </is>
      </c>
      <c r="C42" s="5" t="inlineStr">
        <is>
          <t>text</t>
        </is>
      </c>
      <c r="D42" s="14" t="inlineStr">
        <is>
          <t>FIC</t>
        </is>
      </c>
      <c r="E42" s="5" t="inlineStr">
        <is>
          <t>No</t>
        </is>
      </c>
      <c r="F42" s="5" t="inlineStr"/>
    </row>
    <row r="43">
      <c r="A43" s="6" t="inlineStr">
        <is>
          <t>Fornitori</t>
        </is>
      </c>
      <c r="B43" s="6" t="inlineStr">
        <is>
          <t>email_pec</t>
        </is>
      </c>
      <c r="C43" s="6" t="inlineStr">
        <is>
          <t>string</t>
        </is>
      </c>
      <c r="D43" s="14" t="inlineStr">
        <is>
          <t>FIC</t>
        </is>
      </c>
      <c r="E43" s="6" t="inlineStr">
        <is>
          <t>No</t>
        </is>
      </c>
      <c r="F43" s="6" t="inlineStr"/>
    </row>
    <row r="44">
      <c r="A44" s="5" t="inlineStr">
        <is>
          <t>Fornitori</t>
        </is>
      </c>
      <c r="B44" s="5" t="inlineStr">
        <is>
          <t>iban</t>
        </is>
      </c>
      <c r="C44" s="5" t="inlineStr">
        <is>
          <t>string</t>
        </is>
      </c>
      <c r="D44" s="14" t="inlineStr">
        <is>
          <t>FIC</t>
        </is>
      </c>
      <c r="E44" s="5" t="inlineStr">
        <is>
          <t>No</t>
        </is>
      </c>
      <c r="F44" s="5" t="inlineStr">
        <is>
          <t>Sezione 'Rapporti commerciali'. Per pagamenti / distinte</t>
        </is>
      </c>
    </row>
    <row r="45">
      <c r="A45" s="6" t="inlineStr">
        <is>
          <t>Fornitori</t>
        </is>
      </c>
      <c r="B45" s="6" t="inlineStr">
        <is>
          <t>regime_fiscale</t>
        </is>
      </c>
      <c r="C45" s="6" t="inlineStr">
        <is>
          <t>enum</t>
        </is>
      </c>
      <c r="D45" s="13" t="inlineStr">
        <is>
          <t>ERP</t>
        </is>
      </c>
      <c r="E45" s="6" t="inlineStr">
        <is>
          <t>Sì</t>
        </is>
      </c>
      <c r="F45" s="6" t="inlineStr">
        <is>
          <t>forfettario / semplificato / ordinario. Determina IVA detraibile e ritenuta — NON la deducibilità del costo (che dipende dall'inerenza)</t>
        </is>
      </c>
    </row>
    <row r="46">
      <c r="A46" s="5" t="inlineStr">
        <is>
          <t>Fornitori</t>
        </is>
      </c>
      <c r="B46" s="5" t="inlineStr">
        <is>
          <t>soggetto_ritenuta</t>
        </is>
      </c>
      <c r="C46" s="5" t="inlineStr">
        <is>
          <t>bool</t>
        </is>
      </c>
      <c r="D46" s="13" t="inlineStr">
        <is>
          <t>ERP</t>
        </is>
      </c>
      <c r="E46" s="5" t="inlineStr">
        <is>
          <t>No</t>
        </is>
      </c>
      <c r="F46" s="5" t="inlineStr">
        <is>
          <t>Professionisti ord./sempl. → Sì (Bite = sostituto d'imposta). Forfettari → No</t>
        </is>
      </c>
    </row>
    <row r="47">
      <c r="A47" s="6" t="inlineStr">
        <is>
          <t>Fornitori</t>
        </is>
      </c>
      <c r="B47" s="6" t="inlineStr">
        <is>
          <t>aliquota_ritenuta</t>
        </is>
      </c>
      <c r="C47" s="6" t="inlineStr">
        <is>
          <t>% (decimal)</t>
        </is>
      </c>
      <c r="D47" s="13" t="inlineStr">
        <is>
          <t>ERP</t>
        </is>
      </c>
      <c r="E47" s="6" t="inlineStr">
        <is>
          <t>No</t>
        </is>
      </c>
      <c r="F47" s="6" t="inlineStr">
        <is>
          <t>Tipico 20% sui professionisti. Genera scadenza F24 ritenute + Certificazione Unica annuale</t>
        </is>
      </c>
    </row>
    <row r="48">
      <c r="A48" s="5" t="inlineStr">
        <is>
          <t>Fornitori</t>
        </is>
      </c>
      <c r="B48" s="5" t="inlineStr">
        <is>
          <t>is_collaboratore</t>
        </is>
      </c>
      <c r="C48" s="5" t="inlineStr">
        <is>
          <t>bool</t>
        </is>
      </c>
      <c r="D48" s="13" t="inlineStr">
        <is>
          <t>ERP</t>
        </is>
      </c>
      <c r="E48" s="5" t="inlineStr">
        <is>
          <t>Sì</t>
        </is>
      </c>
      <c r="F48" s="5" t="inlineStr">
        <is>
          <t>True se il fornitore è un collaboratore interno che fattura</t>
        </is>
      </c>
    </row>
    <row r="49">
      <c r="A49" s="6" t="inlineStr">
        <is>
          <t>Fornitori</t>
        </is>
      </c>
      <c r="B49" s="6" t="inlineStr">
        <is>
          <t>risorsa_id</t>
        </is>
      </c>
      <c r="C49" s="6" t="inlineStr">
        <is>
          <t>FK Risorse</t>
        </is>
      </c>
      <c r="D49" s="13" t="inlineStr">
        <is>
          <t>ERP</t>
        </is>
      </c>
      <c r="E49" s="6" t="inlineStr">
        <is>
          <t>No</t>
        </is>
      </c>
      <c r="F49" s="6" t="inlineStr">
        <is>
          <t>Link alla Risorsa interna se is_collaboratore=True. Evita il doppio conteggio costo (fattura vs timesheet)</t>
        </is>
      </c>
    </row>
    <row r="50">
      <c r="A50" s="5" t="inlineStr">
        <is>
          <t>Fornitori</t>
        </is>
      </c>
      <c r="B50" s="5" t="inlineStr">
        <is>
          <t>ricorrente</t>
        </is>
      </c>
      <c r="C50" s="5" t="inlineStr">
        <is>
          <t>bool</t>
        </is>
      </c>
      <c r="D50" s="13" t="inlineStr">
        <is>
          <t>ERP</t>
        </is>
      </c>
      <c r="E50" s="5" t="inlineStr">
        <is>
          <t>No</t>
        </is>
      </c>
      <c r="F50" s="5" t="inlineStr">
        <is>
          <t>Flag fornitore di costi ricorrenti (SaaS, affitto...)</t>
        </is>
      </c>
    </row>
    <row r="51">
      <c r="A51" s="6" t="inlineStr">
        <is>
          <t>Fornitori</t>
        </is>
      </c>
      <c r="B51" s="6" t="inlineStr">
        <is>
          <t>stato</t>
        </is>
      </c>
      <c r="C51" s="6" t="inlineStr">
        <is>
          <t>enum</t>
        </is>
      </c>
      <c r="D51" s="13" t="inlineStr">
        <is>
          <t>ERP</t>
        </is>
      </c>
      <c r="E51" s="6" t="inlineStr">
        <is>
          <t>No</t>
        </is>
      </c>
      <c r="F51" s="6" t="inlineStr">
        <is>
          <t>attivo / sospeso / chiuso</t>
        </is>
      </c>
    </row>
    <row r="52" ht="18" customHeight="1">
      <c r="A52" s="12" t="inlineStr">
        <is>
          <t>BANCHE / CONTI</t>
        </is>
      </c>
      <c r="B52" s="17" t="n"/>
      <c r="C52" s="17" t="n"/>
      <c r="D52" s="17" t="n"/>
      <c r="E52" s="17" t="n"/>
      <c r="F52" s="18" t="n"/>
    </row>
    <row r="53">
      <c r="A53" s="6" t="inlineStr">
        <is>
          <t>Conti</t>
        </is>
      </c>
      <c r="B53" s="6" t="inlineStr">
        <is>
          <t>id</t>
        </is>
      </c>
      <c r="C53" s="6" t="inlineStr">
        <is>
          <t>PK int</t>
        </is>
      </c>
      <c r="D53" s="13" t="inlineStr">
        <is>
          <t>ERP</t>
        </is>
      </c>
      <c r="E53" s="6" t="inlineStr">
        <is>
          <t>Sì</t>
        </is>
      </c>
      <c r="F53" s="6" t="inlineStr"/>
    </row>
    <row r="54">
      <c r="A54" s="5" t="inlineStr">
        <is>
          <t>Conti</t>
        </is>
      </c>
      <c r="B54" s="5" t="inlineStr">
        <is>
          <t>nome</t>
        </is>
      </c>
      <c r="C54" s="5" t="inlineStr">
        <is>
          <t>string</t>
        </is>
      </c>
      <c r="D54" s="13" t="inlineStr">
        <is>
          <t>ERP</t>
        </is>
      </c>
      <c r="E54" s="5" t="inlineStr">
        <is>
          <t>Sì</t>
        </is>
      </c>
      <c r="F54" s="5" t="inlineStr">
        <is>
          <t>Etichetta. Es. 'C/C Intesa', 'Stripe', 'Cassa'</t>
        </is>
      </c>
    </row>
    <row r="55">
      <c r="A55" s="6" t="inlineStr">
        <is>
          <t>Conti</t>
        </is>
      </c>
      <c r="B55" s="6" t="inlineStr">
        <is>
          <t>tipo</t>
        </is>
      </c>
      <c r="C55" s="6" t="inlineStr">
        <is>
          <t>enum</t>
        </is>
      </c>
      <c r="D55" s="13" t="inlineStr">
        <is>
          <t>ERP</t>
        </is>
      </c>
      <c r="E55" s="6" t="inlineStr">
        <is>
          <t>Sì</t>
        </is>
      </c>
      <c r="F55" s="6" t="inlineStr">
        <is>
          <t>c/c bancario / carta credito / conto deposito / cassa contanti</t>
        </is>
      </c>
    </row>
    <row r="56">
      <c r="A56" s="5" t="inlineStr">
        <is>
          <t>Conti</t>
        </is>
      </c>
      <c r="B56" s="5" t="inlineStr">
        <is>
          <t>istituto</t>
        </is>
      </c>
      <c r="C56" s="5" t="inlineStr">
        <is>
          <t>string</t>
        </is>
      </c>
      <c r="D56" s="13" t="inlineStr">
        <is>
          <t>ERP</t>
        </is>
      </c>
      <c r="E56" s="5" t="inlineStr">
        <is>
          <t>No</t>
        </is>
      </c>
      <c r="F56" s="5" t="inlineStr">
        <is>
          <t>Banca. Es. Intesa San Paolo, Credem</t>
        </is>
      </c>
    </row>
    <row r="57">
      <c r="A57" s="6" t="inlineStr">
        <is>
          <t>Conti</t>
        </is>
      </c>
      <c r="B57" s="6" t="inlineStr">
        <is>
          <t>iban</t>
        </is>
      </c>
      <c r="C57" s="6" t="inlineStr">
        <is>
          <t>string</t>
        </is>
      </c>
      <c r="D57" s="13" t="inlineStr">
        <is>
          <t>ERP</t>
        </is>
      </c>
      <c r="E57" s="6" t="inlineStr">
        <is>
          <t>No</t>
        </is>
      </c>
      <c r="F57" s="6" t="inlineStr">
        <is>
          <t>Per c/c. Usato per pagamenti e abbinamento CBI</t>
        </is>
      </c>
    </row>
    <row r="58">
      <c r="A58" s="5" t="inlineStr">
        <is>
          <t>Conti</t>
        </is>
      </c>
      <c r="B58" s="5" t="inlineStr">
        <is>
          <t>bic_swift</t>
        </is>
      </c>
      <c r="C58" s="5" t="inlineStr">
        <is>
          <t>string</t>
        </is>
      </c>
      <c r="D58" s="13" t="inlineStr">
        <is>
          <t>ERP</t>
        </is>
      </c>
      <c r="E58" s="5" t="inlineStr">
        <is>
          <t>No</t>
        </is>
      </c>
      <c r="F58" s="5" t="inlineStr">
        <is>
          <t>Opzionale</t>
        </is>
      </c>
    </row>
    <row r="59">
      <c r="A59" s="6" t="inlineStr">
        <is>
          <t>Conti</t>
        </is>
      </c>
      <c r="B59" s="6" t="inlineStr">
        <is>
          <t>intestatario</t>
        </is>
      </c>
      <c r="C59" s="6" t="inlineStr">
        <is>
          <t>string</t>
        </is>
      </c>
      <c r="D59" s="13" t="inlineStr">
        <is>
          <t>ERP</t>
        </is>
      </c>
      <c r="E59" s="6" t="inlineStr">
        <is>
          <t>No</t>
        </is>
      </c>
      <c r="F59" s="6" t="inlineStr">
        <is>
          <t>Società o socio (alcune carte sono intestate a soci)</t>
        </is>
      </c>
    </row>
    <row r="60">
      <c r="A60" s="5" t="inlineStr">
        <is>
          <t>Conti</t>
        </is>
      </c>
      <c r="B60" s="5" t="inlineStr">
        <is>
          <t>valuta</t>
        </is>
      </c>
      <c r="C60" s="5" t="inlineStr">
        <is>
          <t>string</t>
        </is>
      </c>
      <c r="D60" s="13" t="inlineStr">
        <is>
          <t>ERP</t>
        </is>
      </c>
      <c r="E60" s="5" t="inlineStr">
        <is>
          <t>Sì</t>
        </is>
      </c>
      <c r="F60" s="5" t="inlineStr">
        <is>
          <t>Default EUR</t>
        </is>
      </c>
    </row>
    <row r="61">
      <c r="A61" s="6" t="inlineStr">
        <is>
          <t>Conti</t>
        </is>
      </c>
      <c r="B61" s="6" t="inlineStr">
        <is>
          <t>saldo_iniziale</t>
        </is>
      </c>
      <c r="C61" s="6" t="inlineStr">
        <is>
          <t>decimal €</t>
        </is>
      </c>
      <c r="D61" s="13" t="inlineStr">
        <is>
          <t>ERP</t>
        </is>
      </c>
      <c r="E61" s="6" t="inlineStr">
        <is>
          <t>Sì</t>
        </is>
      </c>
      <c r="F61" s="6" t="inlineStr">
        <is>
          <t>Saldo di apertura nel sistema (inizializzazione da definire col commercialista)</t>
        </is>
      </c>
    </row>
    <row r="62">
      <c r="A62" s="5" t="inlineStr">
        <is>
          <t>Conti</t>
        </is>
      </c>
      <c r="B62" s="5" t="inlineStr">
        <is>
          <t>data_saldo_iniziale</t>
        </is>
      </c>
      <c r="C62" s="5" t="inlineStr">
        <is>
          <t>date</t>
        </is>
      </c>
      <c r="D62" s="13" t="inlineStr">
        <is>
          <t>ERP</t>
        </is>
      </c>
      <c r="E62" s="5" t="inlineStr">
        <is>
          <t>Sì</t>
        </is>
      </c>
      <c r="F62" s="5" t="inlineStr">
        <is>
          <t>Punto di partenza per il calcolo cassa</t>
        </is>
      </c>
    </row>
    <row r="63">
      <c r="A63" s="6" t="inlineStr">
        <is>
          <t>Conti</t>
        </is>
      </c>
      <c r="B63" s="6" t="inlineStr">
        <is>
          <t>saldo_banca</t>
        </is>
      </c>
      <c r="C63" s="6" t="inlineStr">
        <is>
          <t>decimal €</t>
        </is>
      </c>
      <c r="D63" s="16" t="inlineStr">
        <is>
          <t>Banca</t>
        </is>
      </c>
      <c r="E63" s="6" t="inlineStr">
        <is>
          <t>No</t>
        </is>
      </c>
      <c r="F63" s="6" t="inlineStr">
        <is>
          <t>Saldo di chiusura dall'ultimo e/c importato</t>
        </is>
      </c>
    </row>
    <row r="64">
      <c r="A64" s="5" t="inlineStr">
        <is>
          <t>Conti</t>
        </is>
      </c>
      <c r="B64" s="5" t="inlineStr">
        <is>
          <t>saldo_gestionale</t>
        </is>
      </c>
      <c r="C64" s="5" t="inlineStr">
        <is>
          <t>decimal €</t>
        </is>
      </c>
      <c r="D64" s="15" t="inlineStr">
        <is>
          <t>CALCOLATO</t>
        </is>
      </c>
      <c r="E64" s="5" t="inlineStr">
        <is>
          <t>No</t>
        </is>
      </c>
      <c r="F64" s="5" t="inlineStr">
        <is>
          <t>Ricostruito dai movimenti (saldo iniziale + movimenti)</t>
        </is>
      </c>
    </row>
    <row r="65">
      <c r="A65" s="6" t="inlineStr">
        <is>
          <t>Conti</t>
        </is>
      </c>
      <c r="B65" s="6" t="inlineStr">
        <is>
          <t>sentinella</t>
        </is>
      </c>
      <c r="C65" s="6" t="inlineStr">
        <is>
          <t>decimal €</t>
        </is>
      </c>
      <c r="D65" s="15" t="inlineStr">
        <is>
          <t>CALCOLATO</t>
        </is>
      </c>
      <c r="E65" s="6" t="inlineStr">
        <is>
          <t>No</t>
        </is>
      </c>
      <c r="F65" s="6">
        <f> saldo_banca − saldo_gestionale. Se ≠ 0 → qualcosa non riconciliato/importato. A riconciliazione completa = 0</f>
        <v/>
      </c>
    </row>
    <row r="66">
      <c r="A66" s="5" t="inlineStr">
        <is>
          <t>Conti</t>
        </is>
      </c>
      <c r="B66" s="5" t="inlineStr">
        <is>
          <t>modalita_import</t>
        </is>
      </c>
      <c r="C66" s="5" t="inlineStr">
        <is>
          <t>enum</t>
        </is>
      </c>
      <c r="D66" s="13" t="inlineStr">
        <is>
          <t>ERP</t>
        </is>
      </c>
      <c r="E66" s="5" t="inlineStr">
        <is>
          <t>Sì</t>
        </is>
      </c>
      <c r="F66" s="5" t="inlineStr">
        <is>
          <t>CBI / CSV / manuale. Banche (Intesa, Credem) via tracciato CBI .txt o CSV; cassa manuale. No PSD2 (brief §4.1)</t>
        </is>
      </c>
    </row>
    <row r="67">
      <c r="A67" s="6" t="inlineStr">
        <is>
          <t>Conti</t>
        </is>
      </c>
      <c r="B67" s="6" t="inlineStr">
        <is>
          <t>fido_accordato</t>
        </is>
      </c>
      <c r="C67" s="6" t="inlineStr">
        <is>
          <t>decimal €</t>
        </is>
      </c>
      <c r="D67" s="13" t="inlineStr">
        <is>
          <t>ERP</t>
        </is>
      </c>
      <c r="E67" s="6" t="inlineStr">
        <is>
          <t>No</t>
        </is>
      </c>
      <c r="F67" s="6" t="inlineStr">
        <is>
          <t>Affidamento. Liquidità disponibile = saldo + fido; base alert</t>
        </is>
      </c>
    </row>
    <row r="68">
      <c r="A68" s="5" t="inlineStr">
        <is>
          <t>Conti</t>
        </is>
      </c>
      <c r="B68" s="5" t="inlineStr">
        <is>
          <t>tipo_fido</t>
        </is>
      </c>
      <c r="C68" s="5" t="inlineStr">
        <is>
          <t>enum</t>
        </is>
      </c>
      <c r="D68" s="13" t="inlineStr">
        <is>
          <t>ERP</t>
        </is>
      </c>
      <c r="E68" s="5" t="inlineStr">
        <is>
          <t>No</t>
        </is>
      </c>
      <c r="F68" s="5" t="inlineStr">
        <is>
          <t>scoperto c/c / anticipo fatture (SBF) / nessuno. SBF rilevante per le Ri.Ba</t>
        </is>
      </c>
    </row>
    <row r="69">
      <c r="A69" s="6" t="inlineStr">
        <is>
          <t>Conti</t>
        </is>
      </c>
      <c r="B69" s="6" t="inlineStr">
        <is>
          <t>in_riconciliazione</t>
        </is>
      </c>
      <c r="C69" s="6" t="inlineStr">
        <is>
          <t>bool</t>
        </is>
      </c>
      <c r="D69" s="13" t="inlineStr">
        <is>
          <t>ERP</t>
        </is>
      </c>
      <c r="E69" s="6" t="inlineStr">
        <is>
          <t>No</t>
        </is>
      </c>
      <c r="F69" s="6" t="inlineStr">
        <is>
          <t>Se il conto alimenta la riconciliazione</t>
        </is>
      </c>
    </row>
    <row r="70">
      <c r="A70" s="5" t="inlineStr">
        <is>
          <t>Conti</t>
        </is>
      </c>
      <c r="B70" s="5" t="inlineStr">
        <is>
          <t>attivo</t>
        </is>
      </c>
      <c r="C70" s="5" t="inlineStr">
        <is>
          <t>bool</t>
        </is>
      </c>
      <c r="D70" s="13" t="inlineStr">
        <is>
          <t>ERP</t>
        </is>
      </c>
      <c r="E70" s="5" t="inlineStr">
        <is>
          <t>Sì</t>
        </is>
      </c>
      <c r="F70" s="5" t="inlineStr"/>
    </row>
    <row r="71" ht="18" customHeight="1">
      <c r="A71" s="12" t="inlineStr">
        <is>
          <t>PROGETTI / COMMESSE — campi base (comuni a tutti i tipi). Campi condizionali per tipo → foglio 6</t>
        </is>
      </c>
      <c r="B71" s="17" t="n"/>
      <c r="C71" s="17" t="n"/>
      <c r="D71" s="17" t="n"/>
      <c r="E71" s="17" t="n"/>
      <c r="F71" s="18" t="n"/>
    </row>
    <row r="72">
      <c r="A72" s="5" t="inlineStr">
        <is>
          <t>Progetti</t>
        </is>
      </c>
      <c r="B72" s="5" t="inlineStr">
        <is>
          <t>id_progetto</t>
        </is>
      </c>
      <c r="C72" s="5" t="inlineStr">
        <is>
          <t>PK / progressivo</t>
        </is>
      </c>
      <c r="D72" s="13" t="inlineStr">
        <is>
          <t>ERP</t>
        </is>
      </c>
      <c r="E72" s="5" t="inlineStr">
        <is>
          <t>Sì</t>
        </is>
      </c>
      <c r="F72" s="5" t="inlineStr">
        <is>
          <t>Progressivo. Es. 001</t>
        </is>
      </c>
    </row>
    <row r="73">
      <c r="A73" s="6" t="inlineStr">
        <is>
          <t>Progetti</t>
        </is>
      </c>
      <c r="B73" s="6" t="inlineStr">
        <is>
          <t>cliente_id</t>
        </is>
      </c>
      <c r="C73" s="6" t="inlineStr">
        <is>
          <t>FK Clienti</t>
        </is>
      </c>
      <c r="D73" s="13" t="inlineStr">
        <is>
          <t>ERP</t>
        </is>
      </c>
      <c r="E73" s="6" t="inlineStr">
        <is>
          <t>Sì</t>
        </is>
      </c>
      <c r="F73" s="6" t="inlineStr">
        <is>
          <t>Dropdown clienti in ordine alfabetico</t>
        </is>
      </c>
    </row>
    <row r="74">
      <c r="A74" s="5" t="inlineStr">
        <is>
          <t>Progetti</t>
        </is>
      </c>
      <c r="B74" s="5" t="inlineStr">
        <is>
          <t>nome_progetto</t>
        </is>
      </c>
      <c r="C74" s="5" t="inlineStr">
        <is>
          <t>string</t>
        </is>
      </c>
      <c r="D74" s="13" t="inlineStr">
        <is>
          <t>ERP</t>
        </is>
      </c>
      <c r="E74" s="5" t="inlineStr">
        <is>
          <t>Sì</t>
        </is>
      </c>
      <c r="F74" s="5" t="inlineStr">
        <is>
          <t>Manuale. Es. 'Creazione sito Web HC'</t>
        </is>
      </c>
    </row>
    <row r="75">
      <c r="A75" s="6" t="inlineStr">
        <is>
          <t>Progetti</t>
        </is>
      </c>
      <c r="B75" s="6" t="inlineStr">
        <is>
          <t>stato</t>
        </is>
      </c>
      <c r="C75" s="6" t="inlineStr">
        <is>
          <t>enum</t>
        </is>
      </c>
      <c r="D75" s="13" t="inlineStr">
        <is>
          <t>ERP</t>
        </is>
      </c>
      <c r="E75" s="6" t="inlineStr">
        <is>
          <t>Sì</t>
        </is>
      </c>
      <c r="F75" s="6" t="inlineStr">
        <is>
          <t>onboarding / attivo / sospeso / chiuso</t>
        </is>
      </c>
    </row>
    <row r="76">
      <c r="A76" s="5" t="inlineStr">
        <is>
          <t>Progetti</t>
        </is>
      </c>
      <c r="B76" s="5" t="inlineStr">
        <is>
          <t>project_manager_id</t>
        </is>
      </c>
      <c r="C76" s="5" t="inlineStr">
        <is>
          <t>FK Risorse</t>
        </is>
      </c>
      <c r="D76" s="13" t="inlineStr">
        <is>
          <t>ERP</t>
        </is>
      </c>
      <c r="E76" s="5" t="inlineStr">
        <is>
          <t>Sì</t>
        </is>
      </c>
      <c r="F76" s="5" t="inlineStr">
        <is>
          <t>Selezione tra Risorse con tag 'Project Manager'</t>
        </is>
      </c>
    </row>
    <row r="77">
      <c r="A77" s="6" t="inlineStr">
        <is>
          <t>Progetti</t>
        </is>
      </c>
      <c r="B77" s="6" t="inlineStr">
        <is>
          <t>tipo</t>
        </is>
      </c>
      <c r="C77" s="6" t="inlineStr">
        <is>
          <t>enum</t>
        </is>
      </c>
      <c r="D77" s="13" t="inlineStr">
        <is>
          <t>ERP</t>
        </is>
      </c>
      <c r="E77" s="6" t="inlineStr">
        <is>
          <t>Sì</t>
        </is>
      </c>
      <c r="F77" s="6" t="inlineStr">
        <is>
          <t>Social Media / Creazione Sito Web / Gestione Web / Produzione contenuti / Stand fieristici. Pilota campi condizionali e modello di fatturazione → foglio 6</t>
        </is>
      </c>
    </row>
    <row r="78">
      <c r="A78" s="5" t="inlineStr">
        <is>
          <t>Progetti</t>
        </is>
      </c>
      <c r="B78" s="5" t="inlineStr">
        <is>
          <t>accordo_economico</t>
        </is>
      </c>
      <c r="C78" s="5" t="inlineStr">
        <is>
          <t>decimal €</t>
        </is>
      </c>
      <c r="D78" s="13" t="inlineStr">
        <is>
          <t>ERP</t>
        </is>
      </c>
      <c r="E78" s="5" t="inlineStr">
        <is>
          <t>Sì</t>
        </is>
      </c>
      <c r="F78" s="5" t="inlineStr">
        <is>
          <t>PROMOSSO A BASE: ricavo/fatturabile della commessa, fonte unica per la marginalità. Es. 800 / 3.500</t>
        </is>
      </c>
    </row>
    <row r="79">
      <c r="A79" s="6" t="inlineStr">
        <is>
          <t>Progetti</t>
        </is>
      </c>
      <c r="B79" s="6" t="inlineStr">
        <is>
          <t>risorse_assegnate[ ]</t>
        </is>
      </c>
      <c r="C79" s="6" t="inlineStr">
        <is>
          <t>relazione N:N</t>
        </is>
      </c>
      <c r="D79" s="13" t="inlineStr">
        <is>
          <t>ERP</t>
        </is>
      </c>
      <c r="E79" s="6" t="inlineStr">
        <is>
          <t>No</t>
        </is>
      </c>
      <c r="F79" s="6" t="inlineStr">
        <is>
          <t>Team del progetto: N risorse, ciascuna con ruolo/tag (PM, Video, Web, Produzione). Modello generico che assorbe i campi singoli per tipo del foglio 6</t>
        </is>
      </c>
    </row>
    <row r="80">
      <c r="A80" s="5" t="inlineStr">
        <is>
          <t>Progetti</t>
        </is>
      </c>
      <c r="B80" s="5" t="inlineStr">
        <is>
          <t>commesse[ ]</t>
        </is>
      </c>
      <c r="C80" s="5" t="inlineStr">
        <is>
          <t>relazione N:N</t>
        </is>
      </c>
      <c r="D80" s="13" t="inlineStr">
        <is>
          <t>ERP</t>
        </is>
      </c>
      <c r="E80" s="5" t="inlineStr">
        <is>
          <t>No</t>
        </is>
      </c>
      <c r="F80" s="5" t="inlineStr">
        <is>
          <t>Un progetto può stare in PIÙ commesse (tab. ponte progetto_commessa, foglio 2). Vista inversa = 'Commesse correlate'</t>
        </is>
      </c>
    </row>
    <row r="81">
      <c r="A81" s="6" t="inlineStr">
        <is>
          <t>Progetti</t>
        </is>
      </c>
      <c r="B81" s="6" t="inlineStr">
        <is>
          <t>data_inizio / data_fine</t>
        </is>
      </c>
      <c r="C81" s="6" t="inlineStr">
        <is>
          <t>date</t>
        </is>
      </c>
      <c r="D81" s="13" t="inlineStr">
        <is>
          <t>ERP</t>
        </is>
      </c>
      <c r="E81" s="6" t="inlineStr">
        <is>
          <t>No</t>
        </is>
      </c>
      <c r="F81" s="6" t="inlineStr">
        <is>
          <t>Periodo del progetto. Il progetto è la dimensione analitica primaria (centro di ricavo)</t>
        </is>
      </c>
    </row>
    <row r="82" ht="18" customHeight="1">
      <c r="A82" s="12" t="inlineStr">
        <is>
          <t>COMMESSE — istanza PERIODICA che aggrega Progetti dello stesso cliente e periodicità. Dettaglio gestionale → foglio 10</t>
        </is>
      </c>
      <c r="B82" s="17" t="n"/>
      <c r="C82" s="17" t="n"/>
      <c r="D82" s="17" t="n"/>
      <c r="E82" s="17" t="n"/>
      <c r="F82" s="18" t="n"/>
    </row>
    <row r="83">
      <c r="A83" s="6" t="inlineStr">
        <is>
          <t>Commesse</t>
        </is>
      </c>
      <c r="B83" s="6" t="inlineStr">
        <is>
          <t>id_commessa</t>
        </is>
      </c>
      <c r="C83" s="6" t="inlineStr">
        <is>
          <t>PK int</t>
        </is>
      </c>
      <c r="D83" s="13" t="inlineStr">
        <is>
          <t>ERP</t>
        </is>
      </c>
      <c r="E83" s="6" t="inlineStr">
        <is>
          <t>Sì</t>
        </is>
      </c>
      <c r="F83" s="6" t="inlineStr"/>
    </row>
    <row r="84">
      <c r="A84" s="5" t="inlineStr">
        <is>
          <t>Commesse</t>
        </is>
      </c>
      <c r="B84" s="5" t="inlineStr">
        <is>
          <t>cliente_id</t>
        </is>
      </c>
      <c r="C84" s="5" t="inlineStr">
        <is>
          <t>FK Clienti</t>
        </is>
      </c>
      <c r="D84" s="13" t="inlineStr">
        <is>
          <t>ERP</t>
        </is>
      </c>
      <c r="E84" s="5" t="inlineStr">
        <is>
          <t>Sì</t>
        </is>
      </c>
      <c r="F84" s="5" t="inlineStr">
        <is>
          <t>Dropdown. Una commessa = un cliente</t>
        </is>
      </c>
    </row>
    <row r="85">
      <c r="A85" s="6" t="inlineStr">
        <is>
          <t>Commesse</t>
        </is>
      </c>
      <c r="B85" s="6" t="inlineStr">
        <is>
          <t>nome_commessa</t>
        </is>
      </c>
      <c r="C85" s="6" t="inlineStr">
        <is>
          <t>string</t>
        </is>
      </c>
      <c r="D85" s="13" t="inlineStr">
        <is>
          <t>ERP</t>
        </is>
      </c>
      <c r="E85" s="6" t="inlineStr">
        <is>
          <t>No</t>
        </is>
      </c>
      <c r="F85" s="6" t="inlineStr">
        <is>
          <t>Es. 'Health City — Marzo 2026'</t>
        </is>
      </c>
    </row>
    <row r="86">
      <c r="A86" s="5" t="inlineStr">
        <is>
          <t>Commesse</t>
        </is>
      </c>
      <c r="B86" s="5" t="inlineStr">
        <is>
          <t>progetti_inclusi</t>
        </is>
      </c>
      <c r="C86" s="5" t="inlineStr">
        <is>
          <t>relazione N:N</t>
        </is>
      </c>
      <c r="D86" s="13" t="inlineStr">
        <is>
          <t>ERP</t>
        </is>
      </c>
      <c r="E86" s="5" t="inlineStr">
        <is>
          <t>Sì</t>
        </is>
      </c>
      <c r="F86" s="5" t="inlineStr">
        <is>
          <t>Progetti del cliente (dropdown filtrato) della STESSA periodicità. Selezione manuale con suggerimento automatico (ibrido). Tab. progetto_commessa (foglio 2)</t>
        </is>
      </c>
    </row>
    <row r="87">
      <c r="A87" s="6" t="inlineStr">
        <is>
          <t>Commesse</t>
        </is>
      </c>
      <c r="B87" s="6" t="inlineStr">
        <is>
          <t>periodicita</t>
        </is>
      </c>
      <c r="C87" s="6" t="inlineStr">
        <is>
          <t>enum</t>
        </is>
      </c>
      <c r="D87" s="13" t="inlineStr">
        <is>
          <t>ERP</t>
        </is>
      </c>
      <c r="E87" s="6" t="inlineStr">
        <is>
          <t>Sì</t>
        </is>
      </c>
      <c r="F87" s="6" t="inlineStr">
        <is>
          <t>Derivata dai progetti inclusi. Governa la durata della commessa</t>
        </is>
      </c>
    </row>
    <row r="88">
      <c r="A88" s="5" t="inlineStr">
        <is>
          <t>Commesse</t>
        </is>
      </c>
      <c r="B88" s="5" t="inlineStr">
        <is>
          <t>data_inizio</t>
        </is>
      </c>
      <c r="C88" s="5" t="inlineStr">
        <is>
          <t>date</t>
        </is>
      </c>
      <c r="D88" s="13" t="inlineStr">
        <is>
          <t>ERP</t>
        </is>
      </c>
      <c r="E88" s="5" t="inlineStr">
        <is>
          <t>Sì</t>
        </is>
      </c>
      <c r="F88" s="5" t="inlineStr">
        <is>
          <t>Auto: giorno dopo la data_fine dell'ultima commessa stesso cliente+periodicità. Modificabile. Regole → foglio 10</t>
        </is>
      </c>
    </row>
    <row r="89">
      <c r="A89" s="6" t="inlineStr">
        <is>
          <t>Commesse</t>
        </is>
      </c>
      <c r="B89" s="6" t="inlineStr">
        <is>
          <t>data_fine</t>
        </is>
      </c>
      <c r="C89" s="6" t="inlineStr">
        <is>
          <t>date</t>
        </is>
      </c>
      <c r="D89" s="15" t="inlineStr">
        <is>
          <t>CALCOLATO</t>
        </is>
      </c>
      <c r="E89" s="6" t="inlineStr">
        <is>
          <t>Sì</t>
        </is>
      </c>
      <c r="F89" s="6" t="inlineStr">
        <is>
          <t>(data_inizio + periodicità) − 1 giorno, calendar-aware. Inizio 1°→ultimo giorno del mese; inizio 15→14 del mese dopo. Es. 01/03→31/03, 15/03→14/04</t>
        </is>
      </c>
    </row>
    <row r="90">
      <c r="A90" s="5" t="inlineStr">
        <is>
          <t>Commesse</t>
        </is>
      </c>
      <c r="B90" s="5" t="inlineStr">
        <is>
          <t>competenza</t>
        </is>
      </c>
      <c r="C90" s="5" t="inlineStr">
        <is>
          <t>mese/anno</t>
        </is>
      </c>
      <c r="D90" s="15" t="inlineStr">
        <is>
          <t>CALCOLATO</t>
        </is>
      </c>
      <c r="E90" s="5" t="inlineStr">
        <is>
          <t>Sì</t>
        </is>
      </c>
      <c r="F90" s="5" t="inlineStr">
        <is>
          <t>Mese in cui cade data_fine. Es. 15/03-14/04 → Aprile</t>
        </is>
      </c>
    </row>
    <row r="91">
      <c r="A91" s="6" t="inlineStr">
        <is>
          <t>Commesse</t>
        </is>
      </c>
      <c r="B91" s="6" t="inlineStr">
        <is>
          <t>stato</t>
        </is>
      </c>
      <c r="C91" s="6" t="inlineStr">
        <is>
          <t>enum</t>
        </is>
      </c>
      <c r="D91" s="13" t="inlineStr">
        <is>
          <t>ERP</t>
        </is>
      </c>
      <c r="E91" s="6" t="inlineStr">
        <is>
          <t>Sì</t>
        </is>
      </c>
      <c r="F91" s="6" t="inlineStr">
        <is>
          <t>aperta / chiusa. OVH attribuiti solo a chiusura</t>
        </is>
      </c>
    </row>
    <row r="92" ht="18" customHeight="1">
      <c r="A92" s="12" t="inlineStr">
        <is>
          <t>CENTRI DI COSTO — aree funzionali (set minimo, allineato alla ripartizione soci). NO un centro per cliente/progetto</t>
        </is>
      </c>
      <c r="B92" s="17" t="n"/>
      <c r="C92" s="17" t="n"/>
      <c r="D92" s="17" t="n"/>
      <c r="E92" s="17" t="n"/>
      <c r="F92" s="18" t="n"/>
    </row>
    <row r="93">
      <c r="A93" s="6" t="inlineStr">
        <is>
          <t>CentriCosto</t>
        </is>
      </c>
      <c r="B93" s="6" t="inlineStr">
        <is>
          <t>id</t>
        </is>
      </c>
      <c r="C93" s="6" t="inlineStr">
        <is>
          <t>PK int</t>
        </is>
      </c>
      <c r="D93" s="13" t="inlineStr">
        <is>
          <t>ERP</t>
        </is>
      </c>
      <c r="E93" s="6" t="inlineStr">
        <is>
          <t>Sì</t>
        </is>
      </c>
      <c r="F93" s="6" t="inlineStr"/>
    </row>
    <row r="94">
      <c r="A94" s="5" t="inlineStr">
        <is>
          <t>CentriCosto</t>
        </is>
      </c>
      <c r="B94" s="5" t="inlineStr">
        <is>
          <t>codice</t>
        </is>
      </c>
      <c r="C94" s="5" t="inlineStr">
        <is>
          <t>string</t>
        </is>
      </c>
      <c r="D94" s="13" t="inlineStr">
        <is>
          <t>ERP</t>
        </is>
      </c>
      <c r="E94" s="5" t="inlineStr">
        <is>
          <t>Sì</t>
        </is>
      </c>
      <c r="F94" s="5" t="inlineStr">
        <is>
          <t>Es. CC-PROD</t>
        </is>
      </c>
    </row>
    <row r="95">
      <c r="A95" s="6" t="inlineStr">
        <is>
          <t>CentriCosto</t>
        </is>
      </c>
      <c r="B95" s="6" t="inlineStr">
        <is>
          <t>nome</t>
        </is>
      </c>
      <c r="C95" s="6" t="inlineStr">
        <is>
          <t>string</t>
        </is>
      </c>
      <c r="D95" s="13" t="inlineStr">
        <is>
          <t>ERP</t>
        </is>
      </c>
      <c r="E95" s="6" t="inlineStr">
        <is>
          <t>Sì</t>
        </is>
      </c>
      <c r="F95" s="6" t="inlineStr">
        <is>
          <t>Set proposto: Produzione/Delivery, Commerciale/BD, Amministrazione, Direzione/Struttura</t>
        </is>
      </c>
    </row>
    <row r="96">
      <c r="A96" s="5" t="inlineStr">
        <is>
          <t>CentriCosto</t>
        </is>
      </c>
      <c r="B96" s="5" t="inlineStr">
        <is>
          <t>tipo</t>
        </is>
      </c>
      <c r="C96" s="5" t="inlineStr">
        <is>
          <t>enum</t>
        </is>
      </c>
      <c r="D96" s="13" t="inlineStr">
        <is>
          <t>ERP</t>
        </is>
      </c>
      <c r="E96" s="5" t="inlineStr">
        <is>
          <t>Sì</t>
        </is>
      </c>
      <c r="F96" s="5" t="inlineStr">
        <is>
          <t>produttivo (allocabile a commessa) / struttura (overhead)</t>
        </is>
      </c>
    </row>
    <row r="97">
      <c r="A97" s="6" t="inlineStr">
        <is>
          <t>CentriCosto</t>
        </is>
      </c>
      <c r="B97" s="6" t="inlineStr">
        <is>
          <t>mappa_ripartizione_socio</t>
        </is>
      </c>
      <c r="C97" s="6" t="inlineStr">
        <is>
          <t>enum</t>
        </is>
      </c>
      <c r="D97" s="13" t="inlineStr">
        <is>
          <t>ERP</t>
        </is>
      </c>
      <c r="E97" s="6" t="inlineStr">
        <is>
          <t>No</t>
        </is>
      </c>
      <c r="F97" s="6" t="inlineStr">
        <is>
          <t>Progettuale→Produzione, Commerciale→Commerciale, Amministrativa→Amministrazione (coerenza foglio 8)</t>
        </is>
      </c>
    </row>
    <row r="98">
      <c r="A98" s="5" t="inlineStr">
        <is>
          <t>CentriCosto</t>
        </is>
      </c>
      <c r="B98" s="5" t="inlineStr">
        <is>
          <t>attivo</t>
        </is>
      </c>
      <c r="C98" s="5" t="inlineStr">
        <is>
          <t>bool</t>
        </is>
      </c>
      <c r="D98" s="13" t="inlineStr">
        <is>
          <t>ERP</t>
        </is>
      </c>
      <c r="E98" s="5" t="inlineStr">
        <is>
          <t>Sì</t>
        </is>
      </c>
      <c r="F98" s="5" t="inlineStr"/>
    </row>
    <row r="99" ht="18" customHeight="1">
      <c r="A99" s="12" t="inlineStr">
        <is>
          <t>CATEGORIE CONTABILI GESTIONALI — piano dei conti gestionale. Istanze proposte + struttura CE → foglio 9</t>
        </is>
      </c>
      <c r="B99" s="17" t="n"/>
      <c r="C99" s="17" t="n"/>
      <c r="D99" s="17" t="n"/>
      <c r="E99" s="17" t="n"/>
      <c r="F99" s="18" t="n"/>
    </row>
    <row r="100">
      <c r="A100" s="5" t="inlineStr">
        <is>
          <t>Categorie</t>
        </is>
      </c>
      <c r="B100" s="5" t="inlineStr">
        <is>
          <t>id</t>
        </is>
      </c>
      <c r="C100" s="5" t="inlineStr">
        <is>
          <t>PK int</t>
        </is>
      </c>
      <c r="D100" s="13" t="inlineStr">
        <is>
          <t>ERP</t>
        </is>
      </c>
      <c r="E100" s="5" t="inlineStr">
        <is>
          <t>Sì</t>
        </is>
      </c>
      <c r="F100" s="5" t="inlineStr"/>
    </row>
    <row r="101">
      <c r="A101" s="6" t="inlineStr">
        <is>
          <t>Categorie</t>
        </is>
      </c>
      <c r="B101" s="6" t="inlineStr">
        <is>
          <t>codice</t>
        </is>
      </c>
      <c r="C101" s="6" t="inlineStr">
        <is>
          <t>string</t>
        </is>
      </c>
      <c r="D101" s="13" t="inlineStr">
        <is>
          <t>ERP</t>
        </is>
      </c>
      <c r="E101" s="6" t="inlineStr">
        <is>
          <t>Sì</t>
        </is>
      </c>
      <c r="F101" s="6" t="inlineStr">
        <is>
          <t>Codice gerarchico. Es. R01, C03, S02</t>
        </is>
      </c>
    </row>
    <row r="102">
      <c r="A102" s="5" t="inlineStr">
        <is>
          <t>Categorie</t>
        </is>
      </c>
      <c r="B102" s="5" t="inlineStr">
        <is>
          <t>nome</t>
        </is>
      </c>
      <c r="C102" s="5" t="inlineStr">
        <is>
          <t>string</t>
        </is>
      </c>
      <c r="D102" s="13" t="inlineStr">
        <is>
          <t>ERP</t>
        </is>
      </c>
      <c r="E102" s="5" t="inlineStr">
        <is>
          <t>Sì</t>
        </is>
      </c>
      <c r="F102" s="5" t="inlineStr">
        <is>
          <t>Es. 'Compensi collaboratori'</t>
        </is>
      </c>
    </row>
    <row r="103">
      <c r="A103" s="6" t="inlineStr">
        <is>
          <t>Categorie</t>
        </is>
      </c>
      <c r="B103" s="6" t="inlineStr">
        <is>
          <t>categoria_padre_id</t>
        </is>
      </c>
      <c r="C103" s="6" t="inlineStr">
        <is>
          <t>FK self</t>
        </is>
      </c>
      <c r="D103" s="13" t="inlineStr">
        <is>
          <t>ERP</t>
        </is>
      </c>
      <c r="E103" s="6" t="inlineStr">
        <is>
          <t>No</t>
        </is>
      </c>
      <c r="F103" s="6" t="inlineStr">
        <is>
          <t>Gruppo di raggruppamento per il CE (2 livelli)</t>
        </is>
      </c>
    </row>
    <row r="104">
      <c r="A104" s="5" t="inlineStr">
        <is>
          <t>Categorie</t>
        </is>
      </c>
      <c r="B104" s="5" t="inlineStr">
        <is>
          <t>tipo_flusso</t>
        </is>
      </c>
      <c r="C104" s="5" t="inlineStr">
        <is>
          <t>enum</t>
        </is>
      </c>
      <c r="D104" s="13" t="inlineStr">
        <is>
          <t>ERP</t>
        </is>
      </c>
      <c r="E104" s="5" t="inlineStr">
        <is>
          <t>Sì</t>
        </is>
      </c>
      <c r="F104" s="5" t="inlineStr">
        <is>
          <t>ricavo / costo</t>
        </is>
      </c>
    </row>
    <row r="105">
      <c r="A105" s="6" t="inlineStr">
        <is>
          <t>Categorie</t>
        </is>
      </c>
      <c r="B105" s="6" t="inlineStr">
        <is>
          <t>natura</t>
        </is>
      </c>
      <c r="C105" s="6" t="inlineStr">
        <is>
          <t>enum</t>
        </is>
      </c>
      <c r="D105" s="13" t="inlineStr">
        <is>
          <t>ERP</t>
        </is>
      </c>
      <c r="E105" s="6" t="inlineStr">
        <is>
          <t>Sì</t>
        </is>
      </c>
      <c r="F105" s="6" t="inlineStr">
        <is>
          <t>FISSO / VARIABILE — requisito per BEP</t>
        </is>
      </c>
    </row>
    <row r="106">
      <c r="A106" s="5" t="inlineStr">
        <is>
          <t>Categorie</t>
        </is>
      </c>
      <c r="B106" s="5" t="inlineStr">
        <is>
          <t>relazione_commessa</t>
        </is>
      </c>
      <c r="C106" s="5" t="inlineStr">
        <is>
          <t>enum</t>
        </is>
      </c>
      <c r="D106" s="13" t="inlineStr">
        <is>
          <t>ERP</t>
        </is>
      </c>
      <c r="E106" s="5" t="inlineStr">
        <is>
          <t>Sì</t>
        </is>
      </c>
      <c r="F106" s="5" t="inlineStr">
        <is>
          <t>diretto (costo di commessa) / indiretto (struttura)</t>
        </is>
      </c>
    </row>
    <row r="107">
      <c r="A107" s="6" t="inlineStr">
        <is>
          <t>Categorie</t>
        </is>
      </c>
      <c r="B107" s="6" t="inlineStr">
        <is>
          <t>voce_ce</t>
        </is>
      </c>
      <c r="C107" s="6" t="inlineStr">
        <is>
          <t>FK/enum</t>
        </is>
      </c>
      <c r="D107" s="13" t="inlineStr">
        <is>
          <t>ERP</t>
        </is>
      </c>
      <c r="E107" s="6" t="inlineStr">
        <is>
          <t>Sì</t>
        </is>
      </c>
      <c r="F107" s="6" t="inlineStr">
        <is>
          <t>Mappatura alla voce del CE a scalare (foglio 9)</t>
        </is>
      </c>
    </row>
    <row r="108">
      <c r="A108" s="5" t="inlineStr">
        <is>
          <t>Categorie</t>
        </is>
      </c>
      <c r="B108" s="5" t="inlineStr">
        <is>
          <t>detraibilita_iva_pct</t>
        </is>
      </c>
      <c r="C108" s="5" t="inlineStr">
        <is>
          <t>decimal %</t>
        </is>
      </c>
      <c r="D108" s="13" t="inlineStr">
        <is>
          <t>ERP</t>
        </is>
      </c>
      <c r="E108" s="5" t="inlineStr">
        <is>
          <t>No</t>
        </is>
      </c>
      <c r="F108" s="5" t="inlineStr">
        <is>
          <t>Solo FALLBACK: la detraibilità reale arriva da FIC per singola fattura passiva (foglio 13)</t>
        </is>
      </c>
    </row>
    <row r="109">
      <c r="A109" s="6" t="inlineStr">
        <is>
          <t>Categorie</t>
        </is>
      </c>
      <c r="B109" s="6" t="inlineStr">
        <is>
          <t>deducibilita_pct</t>
        </is>
      </c>
      <c r="C109" s="6" t="inlineStr">
        <is>
          <t>decimal %</t>
        </is>
      </c>
      <c r="D109" s="13" t="inlineStr">
        <is>
          <t>ERP</t>
        </is>
      </c>
      <c r="E109" s="6" t="inlineStr">
        <is>
          <t>No</t>
        </is>
      </c>
      <c r="F109" s="6" t="inlineStr">
        <is>
          <t>Solo FALLBACK: la deducibilità reale arriva da FIC per singola fattura passiva (foglio 13)</t>
        </is>
      </c>
    </row>
    <row r="110">
      <c r="A110" s="5" t="inlineStr">
        <is>
          <t>Categorie</t>
        </is>
      </c>
      <c r="B110" s="5" t="inlineStr">
        <is>
          <t>attiva</t>
        </is>
      </c>
      <c r="C110" s="5" t="inlineStr">
        <is>
          <t>bool</t>
        </is>
      </c>
      <c r="D110" s="13" t="inlineStr">
        <is>
          <t>ERP</t>
        </is>
      </c>
      <c r="E110" s="5" t="inlineStr">
        <is>
          <t>Sì</t>
        </is>
      </c>
      <c r="F110" s="5" t="inlineStr"/>
    </row>
    <row r="111" ht="18" customHeight="1">
      <c r="A111" s="12" t="inlineStr">
        <is>
          <t>RISORSE INTERNE — campi base. Campi condizionali per tipologia → foglio 8</t>
        </is>
      </c>
      <c r="B111" s="17" t="n"/>
      <c r="C111" s="17" t="n"/>
      <c r="D111" s="17" t="n"/>
      <c r="E111" s="17" t="n"/>
      <c r="F111" s="18" t="n"/>
    </row>
    <row r="112">
      <c r="A112" s="5" t="inlineStr">
        <is>
          <t>Risorse</t>
        </is>
      </c>
      <c r="B112" s="5" t="inlineStr">
        <is>
          <t>id</t>
        </is>
      </c>
      <c r="C112" s="5" t="inlineStr">
        <is>
          <t>PK int</t>
        </is>
      </c>
      <c r="D112" s="13" t="inlineStr">
        <is>
          <t>ERP</t>
        </is>
      </c>
      <c r="E112" s="5" t="inlineStr">
        <is>
          <t>Sì</t>
        </is>
      </c>
      <c r="F112" s="5" t="inlineStr"/>
    </row>
    <row r="113">
      <c r="A113" s="6" t="inlineStr">
        <is>
          <t>Risorse</t>
        </is>
      </c>
      <c r="B113" s="6" t="inlineStr">
        <is>
          <t>cognome</t>
        </is>
      </c>
      <c r="C113" s="6" t="inlineStr">
        <is>
          <t>string</t>
        </is>
      </c>
      <c r="D113" s="13" t="inlineStr">
        <is>
          <t>ERP</t>
        </is>
      </c>
      <c r="E113" s="6" t="inlineStr">
        <is>
          <t>Sì</t>
        </is>
      </c>
      <c r="F113" s="6" t="inlineStr">
        <is>
          <t>Es. Mora</t>
        </is>
      </c>
    </row>
    <row r="114">
      <c r="A114" s="5" t="inlineStr">
        <is>
          <t>Risorse</t>
        </is>
      </c>
      <c r="B114" s="5" t="inlineStr">
        <is>
          <t>nome</t>
        </is>
      </c>
      <c r="C114" s="5" t="inlineStr">
        <is>
          <t>string</t>
        </is>
      </c>
      <c r="D114" s="13" t="inlineStr">
        <is>
          <t>ERP</t>
        </is>
      </c>
      <c r="E114" s="5" t="inlineStr">
        <is>
          <t>Sì</t>
        </is>
      </c>
      <c r="F114" s="5" t="inlineStr">
        <is>
          <t>Es. Alessandro</t>
        </is>
      </c>
    </row>
    <row r="115">
      <c r="A115" s="6" t="inlineStr">
        <is>
          <t>Risorse</t>
        </is>
      </c>
      <c r="B115" s="6" t="inlineStr">
        <is>
          <t>tipologia</t>
        </is>
      </c>
      <c r="C115" s="6" t="inlineStr">
        <is>
          <t>enum</t>
        </is>
      </c>
      <c r="D115" s="13" t="inlineStr">
        <is>
          <t>ERP</t>
        </is>
      </c>
      <c r="E115" s="6" t="inlineStr">
        <is>
          <t>Sì</t>
        </is>
      </c>
      <c r="F115" s="6" t="inlineStr">
        <is>
          <t>socio / dipendente / collaboratore. Pilota i campi condizionali (foglio 8)</t>
        </is>
      </c>
    </row>
    <row r="116">
      <c r="A116" s="5" t="inlineStr">
        <is>
          <t>Risorse</t>
        </is>
      </c>
      <c r="B116" s="5" t="inlineStr">
        <is>
          <t>tag[ ]</t>
        </is>
      </c>
      <c r="C116" s="5" t="inlineStr">
        <is>
          <t>multi-enum</t>
        </is>
      </c>
      <c r="D116" s="13" t="inlineStr">
        <is>
          <t>ERP</t>
        </is>
      </c>
      <c r="E116" s="5" t="inlineStr">
        <is>
          <t>No</t>
        </is>
      </c>
      <c r="F116" s="5" t="inlineStr">
        <is>
          <t>Es. Project Management, Video, Web... Alimenta i picker dei progetti. Vocabolario CENTRALIZZATO (no testo libero)</t>
        </is>
      </c>
    </row>
    <row r="117">
      <c r="A117" s="6" t="inlineStr">
        <is>
          <t>Risorse</t>
        </is>
      </c>
      <c r="B117" s="6" t="inlineStr">
        <is>
          <t>stato</t>
        </is>
      </c>
      <c r="C117" s="6" t="inlineStr">
        <is>
          <t>enum</t>
        </is>
      </c>
      <c r="D117" s="13" t="inlineStr">
        <is>
          <t>ERP</t>
        </is>
      </c>
      <c r="E117" s="6" t="inlineStr">
        <is>
          <t>Sì</t>
        </is>
      </c>
      <c r="F117" s="6" t="inlineStr">
        <is>
          <t>attivo / cessato / sospeso</t>
        </is>
      </c>
    </row>
    <row r="118">
      <c r="A118" s="5" t="inlineStr">
        <is>
          <t>Risorse</t>
        </is>
      </c>
      <c r="B118" s="5" t="inlineStr">
        <is>
          <t>costo_orario</t>
        </is>
      </c>
      <c r="C118" s="5" t="inlineStr">
        <is>
          <t>decimal</t>
        </is>
      </c>
      <c r="D118" s="15" t="inlineStr">
        <is>
          <t>CALCOLATO</t>
        </is>
      </c>
      <c r="E118" s="5" t="inlineStr">
        <is>
          <t>No</t>
        </is>
      </c>
      <c r="F118" s="5" t="inlineStr">
        <is>
          <t>Driver M.O. su commessa. Dipendente: costo aziendale ÷ ore NETTE annue (al netto ferie+ROL+festività). Assenze extra = sotto-assorbimento a struttura, non gonfiano il costo commessa. Collab. orario: da compenso. Socio: via ripartizione (foglio 8)</t>
        </is>
      </c>
    </row>
    <row r="119" ht="18" customHeight="1">
      <c r="A119" s="12" t="inlineStr">
        <is>
          <t>LINEE DI CREDITO / FINANZIAMENTI  (presenti in Bite → alimentano CE e PFN. Fuori dallo scope del modulo Tesoreria, brief §12)</t>
        </is>
      </c>
      <c r="B119" s="17" t="n"/>
      <c r="C119" s="17" t="n"/>
      <c r="D119" s="17" t="n"/>
      <c r="E119" s="17" t="n"/>
      <c r="F119" s="18" t="n"/>
    </row>
    <row r="120">
      <c r="A120" s="5" t="inlineStr">
        <is>
          <t>Finanziamenti</t>
        </is>
      </c>
      <c r="B120" s="5" t="inlineStr">
        <is>
          <t>id</t>
        </is>
      </c>
      <c r="C120" s="5" t="inlineStr">
        <is>
          <t>PK int</t>
        </is>
      </c>
      <c r="D120" s="13" t="inlineStr">
        <is>
          <t>ERP</t>
        </is>
      </c>
      <c r="E120" s="5" t="inlineStr">
        <is>
          <t>No</t>
        </is>
      </c>
      <c r="F120" s="5" t="inlineStr">
        <is>
          <t>Necessario per PFN e runway completi. Le RATE entrano in previsione cassa come scadenze ricorrenti; solo ammortamento/PFN fuori scope Tesoreria (§4.9)</t>
        </is>
      </c>
    </row>
    <row r="121">
      <c r="A121" s="6" t="inlineStr">
        <is>
          <t>Finanziamenti</t>
        </is>
      </c>
      <c r="B121" s="6" t="inlineStr">
        <is>
          <t>tipo</t>
        </is>
      </c>
      <c r="C121" s="6" t="inlineStr">
        <is>
          <t>enum</t>
        </is>
      </c>
      <c r="D121" s="13" t="inlineStr">
        <is>
          <t>ERP</t>
        </is>
      </c>
      <c r="E121" s="6" t="inlineStr">
        <is>
          <t>No</t>
        </is>
      </c>
      <c r="F121" s="6" t="inlineStr">
        <is>
          <t>fido / mutuo / leasing / prestito</t>
        </is>
      </c>
    </row>
    <row r="122">
      <c r="A122" s="5" t="inlineStr">
        <is>
          <t>Finanziamenti</t>
        </is>
      </c>
      <c r="B122" s="5" t="inlineStr">
        <is>
          <t>istituto</t>
        </is>
      </c>
      <c r="C122" s="5" t="inlineStr">
        <is>
          <t>string</t>
        </is>
      </c>
      <c r="D122" s="13" t="inlineStr">
        <is>
          <t>ERP</t>
        </is>
      </c>
      <c r="E122" s="5" t="inlineStr">
        <is>
          <t>No</t>
        </is>
      </c>
      <c r="F122" s="5" t="inlineStr"/>
    </row>
    <row r="123">
      <c r="A123" s="6" t="inlineStr">
        <is>
          <t>Finanziamenti</t>
        </is>
      </c>
      <c r="B123" s="6" t="inlineStr">
        <is>
          <t>importo_originario</t>
        </is>
      </c>
      <c r="C123" s="6" t="inlineStr">
        <is>
          <t>decimal</t>
        </is>
      </c>
      <c r="D123" s="13" t="inlineStr">
        <is>
          <t>ERP</t>
        </is>
      </c>
      <c r="E123" s="6" t="inlineStr">
        <is>
          <t>No</t>
        </is>
      </c>
      <c r="F123" s="6" t="inlineStr"/>
    </row>
    <row r="124">
      <c r="A124" s="5" t="inlineStr">
        <is>
          <t>Finanziamenti</t>
        </is>
      </c>
      <c r="B124" s="5" t="inlineStr">
        <is>
          <t>rata / periodicita</t>
        </is>
      </c>
      <c r="C124" s="5" t="inlineStr">
        <is>
          <t>decimal/enum</t>
        </is>
      </c>
      <c r="D124" s="13" t="inlineStr">
        <is>
          <t>ERP</t>
        </is>
      </c>
      <c r="E124" s="5" t="inlineStr">
        <is>
          <t>No</t>
        </is>
      </c>
      <c r="F124" s="5" t="inlineStr">
        <is>
          <t>Genera scadenze passive ricorrenti</t>
        </is>
      </c>
    </row>
    <row r="125">
      <c r="A125" s="6" t="inlineStr">
        <is>
          <t>Finanziamenti</t>
        </is>
      </c>
      <c r="B125" s="6" t="inlineStr">
        <is>
          <t>debito_residuo</t>
        </is>
      </c>
      <c r="C125" s="6" t="inlineStr">
        <is>
          <t>decimal</t>
        </is>
      </c>
      <c r="D125" s="13" t="inlineStr">
        <is>
          <t>ERP</t>
        </is>
      </c>
      <c r="E125" s="6" t="inlineStr">
        <is>
          <t>No</t>
        </is>
      </c>
      <c r="F125" s="6" t="inlineStr">
        <is>
          <t>Alimenta la PFN</t>
        </is>
      </c>
    </row>
    <row r="126">
      <c r="A126" s="5" t="inlineStr">
        <is>
          <t>Finanziamenti</t>
        </is>
      </c>
      <c r="B126" s="5" t="inlineStr">
        <is>
          <t>scadenza_finale</t>
        </is>
      </c>
      <c r="C126" s="5" t="inlineStr">
        <is>
          <t>date</t>
        </is>
      </c>
      <c r="D126" s="13" t="inlineStr">
        <is>
          <t>ERP</t>
        </is>
      </c>
      <c r="E126" s="5" t="inlineStr">
        <is>
          <t>No</t>
        </is>
      </c>
      <c r="F126" s="5" t="inlineStr"/>
    </row>
  </sheetData>
  <mergeCells count="11">
    <mergeCell ref="A2:F2"/>
    <mergeCell ref="A71:F71"/>
    <mergeCell ref="A52:F52"/>
    <mergeCell ref="A82:F82"/>
    <mergeCell ref="A99:F99"/>
    <mergeCell ref="A1:F1"/>
    <mergeCell ref="A5:F5"/>
    <mergeCell ref="A27:F27"/>
    <mergeCell ref="A111:F111"/>
    <mergeCell ref="A119:F119"/>
    <mergeCell ref="A92:F9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8" customWidth="1" min="4" max="4"/>
    <col width="7" customWidth="1" min="5" max="5"/>
    <col width="50" customWidth="1" min="6" max="6"/>
  </cols>
  <sheetData>
    <row r="1" ht="26" customHeight="1">
      <c r="A1" s="1" t="inlineStr">
        <is>
          <t>Livello 2 — Fatti (le tabelle che persistono i dati)</t>
        </is>
      </c>
    </row>
    <row r="2" ht="28" customHeight="1">
      <c r="A2" s="2" t="inlineStr">
        <is>
          <t>Due tabelle principali + una di supporto. Tutto il resto è vista. Schema campo per campo.</t>
        </is>
      </c>
    </row>
    <row r="4">
      <c r="A4" s="4" t="inlineStr">
        <is>
          <t>Tabella</t>
        </is>
      </c>
      <c r="B4" s="4" t="inlineStr">
        <is>
          <t>Campo</t>
        </is>
      </c>
      <c r="C4" s="4" t="inlineStr">
        <is>
          <t>Tipo</t>
        </is>
      </c>
      <c r="D4" s="4" t="inlineStr">
        <is>
          <t>FK / Riferimento</t>
        </is>
      </c>
      <c r="E4" s="4" t="inlineStr">
        <is>
          <t>Obbl.</t>
        </is>
      </c>
      <c r="F4" s="4" t="inlineStr">
        <is>
          <t>Note</t>
        </is>
      </c>
    </row>
    <row r="5" ht="18" customHeight="1">
      <c r="A5" s="12" t="inlineStr">
        <is>
          <t>TABELLA A — movimenti  (libro unico: cassa + competenza)</t>
        </is>
      </c>
      <c r="B5" s="17" t="n"/>
      <c r="C5" s="17" t="n"/>
      <c r="D5" s="17" t="n"/>
      <c r="E5" s="17" t="n"/>
      <c r="F5" s="18" t="n"/>
    </row>
    <row r="6">
      <c r="A6" s="5" t="inlineStr">
        <is>
          <t>movimenti</t>
        </is>
      </c>
      <c r="B6" s="5" t="inlineStr">
        <is>
          <t>id</t>
        </is>
      </c>
      <c r="C6" s="5" t="inlineStr">
        <is>
          <t>PK int</t>
        </is>
      </c>
      <c r="D6" s="5" t="inlineStr">
        <is>
          <t>—</t>
        </is>
      </c>
      <c r="E6" s="5" t="inlineStr">
        <is>
          <t>Sì</t>
        </is>
      </c>
      <c r="F6" s="5" t="inlineStr"/>
    </row>
    <row r="7">
      <c r="A7" s="6" t="inlineStr">
        <is>
          <t>movimenti</t>
        </is>
      </c>
      <c r="B7" s="6" t="inlineStr">
        <is>
          <t>data_competenza</t>
        </is>
      </c>
      <c r="C7" s="6" t="inlineStr">
        <is>
          <t>date</t>
        </is>
      </c>
      <c r="D7" s="6" t="inlineStr">
        <is>
          <t>—</t>
        </is>
      </c>
      <c r="E7" s="6" t="inlineStr">
        <is>
          <t>Sì</t>
        </is>
      </c>
      <c r="F7" s="6" t="inlineStr">
        <is>
          <t>Alimenta il Conto Economico</t>
        </is>
      </c>
    </row>
    <row r="8">
      <c r="A8" s="5" t="inlineStr">
        <is>
          <t>movimenti</t>
        </is>
      </c>
      <c r="B8" s="5" t="inlineStr">
        <is>
          <t>data_cassa</t>
        </is>
      </c>
      <c r="C8" s="5" t="inlineStr">
        <is>
          <t>date</t>
        </is>
      </c>
      <c r="D8" s="5" t="inlineStr">
        <is>
          <t>—</t>
        </is>
      </c>
      <c r="E8" s="5" t="inlineStr">
        <is>
          <t>No</t>
        </is>
      </c>
      <c r="F8" s="5" t="inlineStr">
        <is>
          <t>Null se previsto/non ancora incassato-pagato. Alimenta la Tesoreria</t>
        </is>
      </c>
    </row>
    <row r="9">
      <c r="A9" s="6" t="inlineStr">
        <is>
          <t>movimenti</t>
        </is>
      </c>
      <c r="B9" s="6" t="inlineStr">
        <is>
          <t>importo</t>
        </is>
      </c>
      <c r="C9" s="6" t="inlineStr">
        <is>
          <t>decimal</t>
        </is>
      </c>
      <c r="D9" s="6" t="inlineStr">
        <is>
          <t>—</t>
        </is>
      </c>
      <c r="E9" s="6" t="inlineStr">
        <is>
          <t>Sì</t>
        </is>
      </c>
      <c r="F9" s="6" t="inlineStr">
        <is>
          <t>Valore assoluto</t>
        </is>
      </c>
    </row>
    <row r="10">
      <c r="A10" s="5" t="inlineStr">
        <is>
          <t>movimenti</t>
        </is>
      </c>
      <c r="B10" s="5" t="inlineStr">
        <is>
          <t>segno</t>
        </is>
      </c>
      <c r="C10" s="5" t="inlineStr">
        <is>
          <t>enum</t>
        </is>
      </c>
      <c r="D10" s="5" t="inlineStr">
        <is>
          <t>—</t>
        </is>
      </c>
      <c r="E10" s="5" t="inlineStr">
        <is>
          <t>Sì</t>
        </is>
      </c>
      <c r="F10" s="5" t="inlineStr">
        <is>
          <t>entrata / uscita</t>
        </is>
      </c>
    </row>
    <row r="11">
      <c r="A11" s="6" t="inlineStr">
        <is>
          <t>movimenti</t>
        </is>
      </c>
      <c r="B11" s="6" t="inlineStr">
        <is>
          <t>stato</t>
        </is>
      </c>
      <c r="C11" s="6" t="inlineStr">
        <is>
          <t>enum</t>
        </is>
      </c>
      <c r="D11" s="6" t="inlineStr">
        <is>
          <t>—</t>
        </is>
      </c>
      <c r="E11" s="6" t="inlineStr">
        <is>
          <t>Sì</t>
        </is>
      </c>
      <c r="F11" s="6" t="inlineStr">
        <is>
          <t>previsto / contabilizzato / regolato / riconciliato</t>
        </is>
      </c>
    </row>
    <row r="12">
      <c r="A12" s="5" t="inlineStr">
        <is>
          <t>movimenti</t>
        </is>
      </c>
      <c r="B12" s="5" t="inlineStr">
        <is>
          <t>conto_id</t>
        </is>
      </c>
      <c r="C12" s="5" t="inlineStr">
        <is>
          <t>FK Conti</t>
        </is>
      </c>
      <c r="D12" s="5" t="inlineStr">
        <is>
          <t>Conti</t>
        </is>
      </c>
      <c r="E12" s="5" t="inlineStr">
        <is>
          <t>No</t>
        </is>
      </c>
      <c r="F12" s="5" t="inlineStr">
        <is>
          <t>Null finché previsto; valorizzato a regolamento</t>
        </is>
      </c>
    </row>
    <row r="13">
      <c r="A13" s="6" t="inlineStr">
        <is>
          <t>movimenti</t>
        </is>
      </c>
      <c r="B13" s="6" t="inlineStr">
        <is>
          <t>categoria_id</t>
        </is>
      </c>
      <c r="C13" s="6" t="inlineStr">
        <is>
          <t>FK Categorie</t>
        </is>
      </c>
      <c r="D13" s="6" t="inlineStr">
        <is>
          <t>Categorie</t>
        </is>
      </c>
      <c r="E13" s="6" t="inlineStr">
        <is>
          <t>Sì</t>
        </is>
      </c>
      <c r="F13" s="6" t="inlineStr"/>
    </row>
    <row r="14">
      <c r="A14" s="5" t="inlineStr">
        <is>
          <t>movimenti</t>
        </is>
      </c>
      <c r="B14" s="5" t="inlineStr">
        <is>
          <t>progetto_id</t>
        </is>
      </c>
      <c r="C14" s="5" t="inlineStr">
        <is>
          <t>FK Progetti</t>
        </is>
      </c>
      <c r="D14" s="5" t="inlineStr">
        <is>
          <t>Progetti</t>
        </is>
      </c>
      <c r="E14" s="5" t="inlineStr">
        <is>
          <t>No</t>
        </is>
      </c>
      <c r="F14" s="5" t="inlineStr">
        <is>
          <t>Imputazione analitica PRIMARIA (ricavo/costo diretto)</t>
        </is>
      </c>
    </row>
    <row r="15">
      <c r="A15" s="6" t="inlineStr">
        <is>
          <t>movimenti</t>
        </is>
      </c>
      <c r="B15" s="6" t="inlineStr">
        <is>
          <t>commessa_id</t>
        </is>
      </c>
      <c r="C15" s="6" t="inlineStr">
        <is>
          <t>FK Commesse</t>
        </is>
      </c>
      <c r="D15" s="6" t="inlineStr">
        <is>
          <t>Commesse</t>
        </is>
      </c>
      <c r="E15" s="6" t="inlineStr">
        <is>
          <t>No</t>
        </is>
      </c>
      <c r="F15" s="6" t="inlineStr">
        <is>
          <t>Raggruppamento sopra il progetto (relazione N:N, assegnato in consolidamento)</t>
        </is>
      </c>
    </row>
    <row r="16">
      <c r="A16" s="5" t="inlineStr">
        <is>
          <t>movimenti</t>
        </is>
      </c>
      <c r="B16" s="5" t="inlineStr">
        <is>
          <t>centro_costo_id</t>
        </is>
      </c>
      <c r="C16" s="5" t="inlineStr">
        <is>
          <t>FK CentriCosto</t>
        </is>
      </c>
      <c r="D16" s="5" t="inlineStr">
        <is>
          <t>CentriCosto</t>
        </is>
      </c>
      <c r="E16" s="5" t="inlineStr">
        <is>
          <t>No</t>
        </is>
      </c>
      <c r="F16" s="5" t="inlineStr">
        <is>
          <t>Area funzionale (centri di costo, foglio 1). Default per categoria dove possibile</t>
        </is>
      </c>
    </row>
    <row r="17">
      <c r="A17" s="6" t="inlineStr">
        <is>
          <t>movimenti</t>
        </is>
      </c>
      <c r="B17" s="6" t="inlineStr">
        <is>
          <t>controparte_tipo</t>
        </is>
      </c>
      <c r="C17" s="6" t="inlineStr">
        <is>
          <t>enum</t>
        </is>
      </c>
      <c r="D17" s="6" t="inlineStr">
        <is>
          <t>—</t>
        </is>
      </c>
      <c r="E17" s="6" t="inlineStr">
        <is>
          <t>No</t>
        </is>
      </c>
      <c r="F17" s="6" t="inlineStr">
        <is>
          <t>cliente / fornitore / erario / banca / altro</t>
        </is>
      </c>
    </row>
    <row r="18">
      <c r="A18" s="5" t="inlineStr">
        <is>
          <t>movimenti</t>
        </is>
      </c>
      <c r="B18" s="5" t="inlineStr">
        <is>
          <t>controparte_id</t>
        </is>
      </c>
      <c r="C18" s="5" t="inlineStr">
        <is>
          <t>FK</t>
        </is>
      </c>
      <c r="D18" s="5" t="inlineStr">
        <is>
          <t>Clienti/Fornitori</t>
        </is>
      </c>
      <c r="E18" s="5" t="inlineStr">
        <is>
          <t>No</t>
        </is>
      </c>
      <c r="F18" s="5" t="inlineStr">
        <is>
          <t>Polimorfico secondo controparte_tipo</t>
        </is>
      </c>
    </row>
    <row r="19">
      <c r="A19" s="6" t="inlineStr">
        <is>
          <t>movimenti</t>
        </is>
      </c>
      <c r="B19" s="6" t="inlineStr">
        <is>
          <t>origine</t>
        </is>
      </c>
      <c r="C19" s="6" t="inlineStr">
        <is>
          <t>enum</t>
        </is>
      </c>
      <c r="D19" s="6" t="inlineStr">
        <is>
          <t>—</t>
        </is>
      </c>
      <c r="E19" s="6" t="inlineStr">
        <is>
          <t>Sì</t>
        </is>
      </c>
      <c r="F19" s="6" t="inlineStr">
        <is>
          <t>banca_cbi / banca_csv / prima_nota / fattura_fic / f24 / ricorrenza / manuale</t>
        </is>
      </c>
    </row>
    <row r="20">
      <c r="A20" s="5" t="inlineStr">
        <is>
          <t>movimenti</t>
        </is>
      </c>
      <c r="B20" s="5" t="inlineStr">
        <is>
          <t>descrizione_grezza</t>
        </is>
      </c>
      <c r="C20" s="5" t="inlineStr">
        <is>
          <t>string</t>
        </is>
      </c>
      <c r="D20" s="5" t="inlineStr">
        <is>
          <t>Banca</t>
        </is>
      </c>
      <c r="E20" s="5" t="inlineStr">
        <is>
          <t>No</t>
        </is>
      </c>
      <c r="F20" s="5" t="inlineStr">
        <is>
          <t>Descrizione originale dell'e/c, IMMUTABILE (la prova). Mai modificata (invariante 1)</t>
        </is>
      </c>
    </row>
    <row r="21">
      <c r="A21" s="6" t="inlineStr">
        <is>
          <t>movimenti</t>
        </is>
      </c>
      <c r="B21" s="6" t="inlineStr">
        <is>
          <t>impronta_dedup</t>
        </is>
      </c>
      <c r="C21" s="6" t="inlineStr">
        <is>
          <t>hash</t>
        </is>
      </c>
      <c r="D21" s="6" t="inlineStr">
        <is>
          <t>CALCOLATO</t>
        </is>
      </c>
      <c r="E21" s="6" t="inlineStr">
        <is>
          <t>No</t>
        </is>
      </c>
      <c r="F21" s="6" t="inlineStr">
        <is>
          <t>conto+data+importo+descrizione_grezza. Idempotenza: re-import non duplica (invariante 3)</t>
        </is>
      </c>
    </row>
    <row r="22">
      <c r="A22" s="5" t="inlineStr">
        <is>
          <t>movimenti</t>
        </is>
      </c>
      <c r="B22" s="5" t="inlineStr">
        <is>
          <t>flag_esclusione</t>
        </is>
      </c>
      <c r="C22" s="5" t="inlineStr">
        <is>
          <t>enum</t>
        </is>
      </c>
      <c r="D22" s="5" t="inlineStr">
        <is>
          <t>ERP</t>
        </is>
      </c>
      <c r="E22" s="5" t="inlineStr">
        <is>
          <t>No</t>
        </is>
      </c>
      <c r="F22" s="5" t="inlineStr">
        <is>
          <t>Nessuno / giroconto / partita di giro soci / Italfer. Se valorizzato → FUORI da cassa netta e margini (invariante 4)</t>
        </is>
      </c>
    </row>
    <row r="23">
      <c r="A23" s="6" t="inlineStr">
        <is>
          <t>movimenti</t>
        </is>
      </c>
      <c r="B23" s="6" t="inlineStr">
        <is>
          <t>categoria_suggerita</t>
        </is>
      </c>
      <c r="C23" s="6" t="inlineStr">
        <is>
          <t>FK Categorie</t>
        </is>
      </c>
      <c r="D23" s="6" t="inlineStr">
        <is>
          <t>CALCOLATO</t>
        </is>
      </c>
      <c r="E23" s="6" t="inlineStr">
        <is>
          <t>No</t>
        </is>
      </c>
      <c r="F23" s="6" t="inlineStr">
        <is>
          <t>Proposta da dizionario pattern sulla descrizione; correggibile a mano</t>
        </is>
      </c>
    </row>
    <row r="24">
      <c r="A24" s="5" t="inlineStr">
        <is>
          <t>movimenti</t>
        </is>
      </c>
      <c r="B24" s="5" t="inlineStr">
        <is>
          <t>documento_rif</t>
        </is>
      </c>
      <c r="C24" s="5" t="inlineStr">
        <is>
          <t>string</t>
        </is>
      </c>
      <c r="D24" s="5" t="inlineStr">
        <is>
          <t>—</t>
        </is>
      </c>
      <c r="E24" s="5" t="inlineStr">
        <is>
          <t>No</t>
        </is>
      </c>
      <c r="F24" s="5" t="inlineStr">
        <is>
          <t>N. fattura, protocollo F24, ecc.</t>
        </is>
      </c>
    </row>
    <row r="25">
      <c r="A25" s="6" t="inlineStr">
        <is>
          <t>movimenti</t>
        </is>
      </c>
      <c r="B25" s="6" t="inlineStr">
        <is>
          <t>imponibile</t>
        </is>
      </c>
      <c r="C25" s="6" t="inlineStr">
        <is>
          <t>decimal</t>
        </is>
      </c>
      <c r="D25" s="6" t="inlineStr">
        <is>
          <t>—</t>
        </is>
      </c>
      <c r="E25" s="6" t="inlineStr">
        <is>
          <t>No</t>
        </is>
      </c>
      <c r="F25" s="6" t="inlineStr">
        <is>
          <t>Per fatture (separa IVA)</t>
        </is>
      </c>
    </row>
    <row r="26">
      <c r="A26" s="5" t="inlineStr">
        <is>
          <t>movimenti</t>
        </is>
      </c>
      <c r="B26" s="5" t="inlineStr">
        <is>
          <t>iva_importo</t>
        </is>
      </c>
      <c r="C26" s="5" t="inlineStr">
        <is>
          <t>decimal</t>
        </is>
      </c>
      <c r="D26" s="5" t="inlineStr">
        <is>
          <t>—</t>
        </is>
      </c>
      <c r="E26" s="5" t="inlineStr">
        <is>
          <t>No</t>
        </is>
      </c>
      <c r="F26" s="5" t="inlineStr">
        <is>
          <t>Per fatture / liquidazione IVA per cassa</t>
        </is>
      </c>
    </row>
    <row r="27">
      <c r="A27" s="6" t="inlineStr">
        <is>
          <t>movimenti</t>
        </is>
      </c>
      <c r="B27" s="6" t="inlineStr">
        <is>
          <t>stato_riconc</t>
        </is>
      </c>
      <c r="C27" s="6" t="inlineStr">
        <is>
          <t>enum</t>
        </is>
      </c>
      <c r="D27" s="6" t="inlineStr">
        <is>
          <t>—</t>
        </is>
      </c>
      <c r="E27" s="6" t="inlineStr">
        <is>
          <t>Sì</t>
        </is>
      </c>
      <c r="F27" s="6" t="inlineStr">
        <is>
          <t>da riconciliare / parziale / riconciliato. Vedi Tabella E e foglio 11</t>
        </is>
      </c>
    </row>
    <row r="28">
      <c r="A28" s="5" t="inlineStr">
        <is>
          <t>movimenti</t>
        </is>
      </c>
      <c r="B28" s="5" t="inlineStr">
        <is>
          <t>created_by / created_at</t>
        </is>
      </c>
      <c r="C28" s="5" t="inlineStr">
        <is>
          <t>string/datetime</t>
        </is>
      </c>
      <c r="D28" s="5" t="inlineStr">
        <is>
          <t>—</t>
        </is>
      </c>
      <c r="E28" s="5" t="inlineStr">
        <is>
          <t>Sì</t>
        </is>
      </c>
      <c r="F28" s="5" t="inlineStr">
        <is>
          <t>Audit (principio 7)</t>
        </is>
      </c>
    </row>
    <row r="29">
      <c r="A29" s="6" t="inlineStr">
        <is>
          <t>movimenti</t>
        </is>
      </c>
      <c r="B29" s="6" t="inlineStr">
        <is>
          <t>note</t>
        </is>
      </c>
      <c r="C29" s="6" t="inlineStr">
        <is>
          <t>text</t>
        </is>
      </c>
      <c r="D29" s="6" t="inlineStr">
        <is>
          <t>—</t>
        </is>
      </c>
      <c r="E29" s="6" t="inlineStr">
        <is>
          <t>No</t>
        </is>
      </c>
      <c r="F29" s="6" t="inlineStr"/>
    </row>
    <row r="30" ht="18" customHeight="1">
      <c r="A30" s="12" t="inlineStr">
        <is>
          <t>TABELLA B — scadenze  (previsionale: attive, passive, fiscali)</t>
        </is>
      </c>
      <c r="B30" s="17" t="n"/>
      <c r="C30" s="17" t="n"/>
      <c r="D30" s="17" t="n"/>
      <c r="E30" s="17" t="n"/>
      <c r="F30" s="18" t="n"/>
    </row>
    <row r="31">
      <c r="A31" s="6" t="inlineStr">
        <is>
          <t>scadenze</t>
        </is>
      </c>
      <c r="B31" s="6" t="inlineStr">
        <is>
          <t>id</t>
        </is>
      </c>
      <c r="C31" s="6" t="inlineStr">
        <is>
          <t>PK int</t>
        </is>
      </c>
      <c r="D31" s="6" t="inlineStr">
        <is>
          <t>—</t>
        </is>
      </c>
      <c r="E31" s="6" t="inlineStr">
        <is>
          <t>Sì</t>
        </is>
      </c>
      <c r="F31" s="6" t="inlineStr"/>
    </row>
    <row r="32">
      <c r="A32" s="5" t="inlineStr">
        <is>
          <t>scadenze</t>
        </is>
      </c>
      <c r="B32" s="5" t="inlineStr">
        <is>
          <t>tipo</t>
        </is>
      </c>
      <c r="C32" s="5" t="inlineStr">
        <is>
          <t>enum</t>
        </is>
      </c>
      <c r="D32" s="5" t="inlineStr">
        <is>
          <t>—</t>
        </is>
      </c>
      <c r="E32" s="5" t="inlineStr">
        <is>
          <t>Sì</t>
        </is>
      </c>
      <c r="F32" s="5" t="inlineStr">
        <is>
          <t>attiva / passiva / fiscale / contributiva / finanziaria</t>
        </is>
      </c>
    </row>
    <row r="33">
      <c r="A33" s="6" t="inlineStr">
        <is>
          <t>scadenze</t>
        </is>
      </c>
      <c r="B33" s="6" t="inlineStr">
        <is>
          <t>data_attesa</t>
        </is>
      </c>
      <c r="C33" s="6" t="inlineStr">
        <is>
          <t>date</t>
        </is>
      </c>
      <c r="D33" s="6" t="inlineStr">
        <is>
          <t>—</t>
        </is>
      </c>
      <c r="E33" s="6" t="inlineStr">
        <is>
          <t>Sì</t>
        </is>
      </c>
      <c r="F33" s="6" t="inlineStr">
        <is>
          <t>Base per previsione 90gg e calendario fiscale</t>
        </is>
      </c>
    </row>
    <row r="34">
      <c r="A34" s="5" t="inlineStr">
        <is>
          <t>scadenze</t>
        </is>
      </c>
      <c r="B34" s="5" t="inlineStr">
        <is>
          <t>importo</t>
        </is>
      </c>
      <c r="C34" s="5" t="inlineStr">
        <is>
          <t>decimal</t>
        </is>
      </c>
      <c r="D34" s="5" t="inlineStr">
        <is>
          <t>—</t>
        </is>
      </c>
      <c r="E34" s="5" t="inlineStr">
        <is>
          <t>Sì</t>
        </is>
      </c>
      <c r="F34" s="5" t="inlineStr"/>
    </row>
    <row r="35">
      <c r="A35" s="6" t="inlineStr">
        <is>
          <t>scadenze</t>
        </is>
      </c>
      <c r="B35" s="6" t="inlineStr">
        <is>
          <t>stato</t>
        </is>
      </c>
      <c r="C35" s="6" t="inlineStr">
        <is>
          <t>enum</t>
        </is>
      </c>
      <c r="D35" s="6" t="inlineStr">
        <is>
          <t>—</t>
        </is>
      </c>
      <c r="E35" s="6" t="inlineStr">
        <is>
          <t>Sì</t>
        </is>
      </c>
      <c r="F35" s="6" t="inlineStr">
        <is>
          <t>aperta / parziale / chiusa / scaduta</t>
        </is>
      </c>
    </row>
    <row r="36">
      <c r="A36" s="5" t="inlineStr">
        <is>
          <t>scadenze</t>
        </is>
      </c>
      <c r="B36" s="5" t="inlineStr">
        <is>
          <t>controparte_id</t>
        </is>
      </c>
      <c r="C36" s="5" t="inlineStr">
        <is>
          <t>FK</t>
        </is>
      </c>
      <c r="D36" s="5" t="inlineStr">
        <is>
          <t>Clienti/Fornitori</t>
        </is>
      </c>
      <c r="E36" s="5" t="inlineStr">
        <is>
          <t>No</t>
        </is>
      </c>
      <c r="F36" s="5" t="inlineStr"/>
    </row>
    <row r="37">
      <c r="A37" s="6" t="inlineStr">
        <is>
          <t>scadenze</t>
        </is>
      </c>
      <c r="B37" s="6" t="inlineStr">
        <is>
          <t>progetto_id</t>
        </is>
      </c>
      <c r="C37" s="6" t="inlineStr">
        <is>
          <t>FK Progetti</t>
        </is>
      </c>
      <c r="D37" s="6" t="inlineStr">
        <is>
          <t>Progetti</t>
        </is>
      </c>
      <c r="E37" s="6" t="inlineStr">
        <is>
          <t>No</t>
        </is>
      </c>
      <c r="F37" s="6" t="inlineStr">
        <is>
          <t>Progetto che genera la scadenza (dal modello di fatturazione, foglio 6)</t>
        </is>
      </c>
    </row>
    <row r="38">
      <c r="A38" s="5" t="inlineStr">
        <is>
          <t>scadenze</t>
        </is>
      </c>
      <c r="B38" s="5" t="inlineStr">
        <is>
          <t>commessa_id</t>
        </is>
      </c>
      <c r="C38" s="5" t="inlineStr">
        <is>
          <t>FK Commesse</t>
        </is>
      </c>
      <c r="D38" s="5" t="inlineStr">
        <is>
          <t>Commesse</t>
        </is>
      </c>
      <c r="E38" s="5" t="inlineStr">
        <is>
          <t>No</t>
        </is>
      </c>
      <c r="F38" s="5" t="inlineStr">
        <is>
          <t>Per il consolidamento fattura a livello commessa</t>
        </is>
      </c>
    </row>
    <row r="39">
      <c r="A39" s="6" t="inlineStr">
        <is>
          <t>scadenze</t>
        </is>
      </c>
      <c r="B39" s="6" t="inlineStr">
        <is>
          <t>milestone</t>
        </is>
      </c>
      <c r="C39" s="6" t="inlineStr">
        <is>
          <t>enum</t>
        </is>
      </c>
      <c r="D39" s="6" t="inlineStr">
        <is>
          <t>—</t>
        </is>
      </c>
      <c r="E39" s="6" t="inlineStr">
        <is>
          <t>No</t>
        </is>
      </c>
      <c r="F39" s="6" t="inlineStr">
        <is>
          <t>Per rate Sito Web: accordo siglato / approvazione layout / messa online</t>
        </is>
      </c>
    </row>
    <row r="40">
      <c r="A40" s="5" t="inlineStr">
        <is>
          <t>scadenze</t>
        </is>
      </c>
      <c r="B40" s="5" t="inlineStr">
        <is>
          <t>categoria_id</t>
        </is>
      </c>
      <c r="C40" s="5" t="inlineStr">
        <is>
          <t>FK Categorie</t>
        </is>
      </c>
      <c r="D40" s="5" t="inlineStr">
        <is>
          <t>Categorie</t>
        </is>
      </c>
      <c r="E40" s="5" t="inlineStr">
        <is>
          <t>No</t>
        </is>
      </c>
      <c r="F40" s="5" t="inlineStr"/>
    </row>
    <row r="41">
      <c r="A41" s="6" t="inlineStr">
        <is>
          <t>scadenze</t>
        </is>
      </c>
      <c r="B41" s="6" t="inlineStr">
        <is>
          <t>documento_rif</t>
        </is>
      </c>
      <c r="C41" s="6" t="inlineStr">
        <is>
          <t>string</t>
        </is>
      </c>
      <c r="D41" s="6" t="inlineStr">
        <is>
          <t>—</t>
        </is>
      </c>
      <c r="E41" s="6" t="inlineStr">
        <is>
          <t>No</t>
        </is>
      </c>
      <c r="F41" s="6" t="inlineStr">
        <is>
          <t>N. fattura FIC / codice tributo F24</t>
        </is>
      </c>
    </row>
    <row r="42">
      <c r="A42" s="5" t="inlineStr">
        <is>
          <t>scadenze</t>
        </is>
      </c>
      <c r="B42" s="5" t="inlineStr">
        <is>
          <t>origine</t>
        </is>
      </c>
      <c r="C42" s="5" t="inlineStr">
        <is>
          <t>enum</t>
        </is>
      </c>
      <c r="D42" s="5" t="inlineStr">
        <is>
          <t>—</t>
        </is>
      </c>
      <c r="E42" s="5" t="inlineStr">
        <is>
          <t>Sì</t>
        </is>
      </c>
      <c r="F42" s="5" t="inlineStr">
        <is>
          <t>fic / manuale / ricorrenza / f24 / progetto</t>
        </is>
      </c>
    </row>
    <row r="43">
      <c r="A43" s="6" t="inlineStr">
        <is>
          <t>scadenze</t>
        </is>
      </c>
      <c r="B43" s="6" t="inlineStr">
        <is>
          <t>movimento_id</t>
        </is>
      </c>
      <c r="C43" s="6" t="inlineStr">
        <is>
          <t>FK movimenti</t>
        </is>
      </c>
      <c r="D43" s="6" t="inlineStr">
        <is>
          <t>movimenti</t>
        </is>
      </c>
      <c r="E43" s="6" t="inlineStr">
        <is>
          <t>No</t>
        </is>
      </c>
      <c r="F43" s="6" t="inlineStr">
        <is>
          <t>Valorizzato alla chiusura (collega previsione → cassa)</t>
        </is>
      </c>
    </row>
    <row r="44" ht="18" customHeight="1">
      <c r="A44" s="12" t="inlineStr">
        <is>
          <t>TABELLA C — ricorrenze  (template che generano scadenze/movimenti previsti)</t>
        </is>
      </c>
      <c r="B44" s="17" t="n"/>
      <c r="C44" s="17" t="n"/>
      <c r="D44" s="17" t="n"/>
      <c r="E44" s="17" t="n"/>
      <c r="F44" s="18" t="n"/>
    </row>
    <row r="45">
      <c r="A45" s="6" t="inlineStr">
        <is>
          <t>ricorrenze</t>
        </is>
      </c>
      <c r="B45" s="6" t="inlineStr">
        <is>
          <t>id</t>
        </is>
      </c>
      <c r="C45" s="6" t="inlineStr">
        <is>
          <t>PK int</t>
        </is>
      </c>
      <c r="D45" s="6" t="inlineStr">
        <is>
          <t>—</t>
        </is>
      </c>
      <c r="E45" s="6" t="inlineStr">
        <is>
          <t>No</t>
        </is>
      </c>
      <c r="F45" s="6" t="inlineStr">
        <is>
          <t>Affitto, SaaS, stipendi, rate finanziamenti</t>
        </is>
      </c>
    </row>
    <row r="46">
      <c r="A46" s="5" t="inlineStr">
        <is>
          <t>ricorrenze</t>
        </is>
      </c>
      <c r="B46" s="5" t="inlineStr">
        <is>
          <t>descrizione</t>
        </is>
      </c>
      <c r="C46" s="5" t="inlineStr">
        <is>
          <t>string</t>
        </is>
      </c>
      <c r="D46" s="5" t="inlineStr">
        <is>
          <t>—</t>
        </is>
      </c>
      <c r="E46" s="5" t="inlineStr">
        <is>
          <t>No</t>
        </is>
      </c>
      <c r="F46" s="5" t="inlineStr"/>
    </row>
    <row r="47">
      <c r="A47" s="6" t="inlineStr">
        <is>
          <t>ricorrenze</t>
        </is>
      </c>
      <c r="B47" s="6" t="inlineStr">
        <is>
          <t>categoria_id</t>
        </is>
      </c>
      <c r="C47" s="6" t="inlineStr">
        <is>
          <t>FK Categorie</t>
        </is>
      </c>
      <c r="D47" s="6" t="inlineStr">
        <is>
          <t>Categorie</t>
        </is>
      </c>
      <c r="E47" s="6" t="inlineStr">
        <is>
          <t>No</t>
        </is>
      </c>
      <c r="F47" s="6" t="inlineStr"/>
    </row>
    <row r="48">
      <c r="A48" s="5" t="inlineStr">
        <is>
          <t>ricorrenze</t>
        </is>
      </c>
      <c r="B48" s="5" t="inlineStr">
        <is>
          <t>importo</t>
        </is>
      </c>
      <c r="C48" s="5" t="inlineStr">
        <is>
          <t>decimal</t>
        </is>
      </c>
      <c r="D48" s="5" t="inlineStr">
        <is>
          <t>—</t>
        </is>
      </c>
      <c r="E48" s="5" t="inlineStr">
        <is>
          <t>No</t>
        </is>
      </c>
      <c r="F48" s="5" t="inlineStr"/>
    </row>
    <row r="49">
      <c r="A49" s="6" t="inlineStr">
        <is>
          <t>ricorrenze</t>
        </is>
      </c>
      <c r="B49" s="6" t="inlineStr">
        <is>
          <t>periodicita</t>
        </is>
      </c>
      <c r="C49" s="6" t="inlineStr">
        <is>
          <t>enum</t>
        </is>
      </c>
      <c r="D49" s="6" t="inlineStr">
        <is>
          <t>—</t>
        </is>
      </c>
      <c r="E49" s="6" t="inlineStr">
        <is>
          <t>No</t>
        </is>
      </c>
      <c r="F49" s="6" t="inlineStr">
        <is>
          <t>mensile / trimestrale / annuale</t>
        </is>
      </c>
    </row>
    <row r="50">
      <c r="A50" s="5" t="inlineStr">
        <is>
          <t>ricorrenze</t>
        </is>
      </c>
      <c r="B50" s="5" t="inlineStr">
        <is>
          <t>prossima_data</t>
        </is>
      </c>
      <c r="C50" s="5" t="inlineStr">
        <is>
          <t>date</t>
        </is>
      </c>
      <c r="D50" s="5" t="inlineStr">
        <is>
          <t>—</t>
        </is>
      </c>
      <c r="E50" s="5" t="inlineStr">
        <is>
          <t>No</t>
        </is>
      </c>
      <c r="F50" s="5" t="inlineStr">
        <is>
          <t>Motore che alimenta 'scadenze'</t>
        </is>
      </c>
    </row>
    <row r="51">
      <c r="A51" s="6" t="inlineStr">
        <is>
          <t>ricorrenze</t>
        </is>
      </c>
      <c r="B51" s="6" t="inlineStr">
        <is>
          <t>conto_id</t>
        </is>
      </c>
      <c r="C51" s="6" t="inlineStr">
        <is>
          <t>FK Conti</t>
        </is>
      </c>
      <c r="D51" s="6" t="inlineStr">
        <is>
          <t>Conti</t>
        </is>
      </c>
      <c r="E51" s="6" t="inlineStr">
        <is>
          <t>No</t>
        </is>
      </c>
      <c r="F51" s="6" t="inlineStr"/>
    </row>
    <row r="52">
      <c r="A52" s="5" t="inlineStr">
        <is>
          <t>ricorrenze</t>
        </is>
      </c>
      <c r="B52" s="5" t="inlineStr">
        <is>
          <t>attivo</t>
        </is>
      </c>
      <c r="C52" s="5" t="inlineStr">
        <is>
          <t>bool</t>
        </is>
      </c>
      <c r="D52" s="5" t="inlineStr">
        <is>
          <t>—</t>
        </is>
      </c>
      <c r="E52" s="5" t="inlineStr">
        <is>
          <t>No</t>
        </is>
      </c>
      <c r="F52" s="5" t="inlineStr"/>
    </row>
    <row r="53" ht="18" customHeight="1">
      <c r="A53" s="12" t="inlineStr">
        <is>
          <t>TABELLA D — progetto_commessa  (ponte N:N: un progetto può stare in più commesse)</t>
        </is>
      </c>
      <c r="B53" s="17" t="n"/>
      <c r="C53" s="17" t="n"/>
      <c r="D53" s="17" t="n"/>
      <c r="E53" s="17" t="n"/>
      <c r="F53" s="18" t="n"/>
    </row>
    <row r="54">
      <c r="A54" s="5" t="inlineStr">
        <is>
          <t>progetto_commessa</t>
        </is>
      </c>
      <c r="B54" s="5" t="inlineStr">
        <is>
          <t>progetto_id</t>
        </is>
      </c>
      <c r="C54" s="5" t="inlineStr">
        <is>
          <t>FK Progetti</t>
        </is>
      </c>
      <c r="D54" s="5" t="inlineStr">
        <is>
          <t>Progetti</t>
        </is>
      </c>
      <c r="E54" s="5" t="inlineStr">
        <is>
          <t>Sì</t>
        </is>
      </c>
      <c r="F54" s="5" t="inlineStr"/>
    </row>
    <row r="55">
      <c r="A55" s="6" t="inlineStr">
        <is>
          <t>progetto_commessa</t>
        </is>
      </c>
      <c r="B55" s="6" t="inlineStr">
        <is>
          <t>commessa_id</t>
        </is>
      </c>
      <c r="C55" s="6" t="inlineStr">
        <is>
          <t>FK Commesse</t>
        </is>
      </c>
      <c r="D55" s="6" t="inlineStr">
        <is>
          <t>Commesse</t>
        </is>
      </c>
      <c r="E55" s="6" t="inlineStr">
        <is>
          <t>Sì</t>
        </is>
      </c>
      <c r="F55" s="6" t="inlineStr"/>
    </row>
    <row r="56">
      <c r="A56" s="5" t="inlineStr">
        <is>
          <t>progetto_commessa</t>
        </is>
      </c>
      <c r="B56" s="5" t="inlineStr">
        <is>
          <t>scadenze_incluse</t>
        </is>
      </c>
      <c r="C56" s="5" t="inlineStr">
        <is>
          <t>relazione</t>
        </is>
      </c>
      <c r="D56" s="5" t="inlineStr">
        <is>
          <t>scadenze</t>
        </is>
      </c>
      <c r="E56" s="5" t="inlineStr">
        <is>
          <t>No</t>
        </is>
      </c>
      <c r="F56" s="5" t="inlineStr">
        <is>
          <t>Quali scadenze del progetto confluiscono in questa commessa (consolidamento fattura)</t>
        </is>
      </c>
    </row>
    <row r="57" ht="18" customHeight="1">
      <c r="A57" s="12" t="inlineStr">
        <is>
          <t>TABELLA E — riconciliazione  (ponte M:N movimento ↔ scadenza; cuore della Tesoreria)</t>
        </is>
      </c>
      <c r="B57" s="17" t="n"/>
      <c r="C57" s="17" t="n"/>
      <c r="D57" s="17" t="n"/>
      <c r="E57" s="17" t="n"/>
      <c r="F57" s="18" t="n"/>
    </row>
    <row r="58">
      <c r="A58" s="5" t="inlineStr">
        <is>
          <t>riconciliazione</t>
        </is>
      </c>
      <c r="B58" s="5" t="inlineStr">
        <is>
          <t>id</t>
        </is>
      </c>
      <c r="C58" s="5" t="inlineStr">
        <is>
          <t>PK int</t>
        </is>
      </c>
      <c r="D58" s="5" t="inlineStr">
        <is>
          <t>—</t>
        </is>
      </c>
      <c r="E58" s="5" t="inlineStr">
        <is>
          <t>Sì</t>
        </is>
      </c>
      <c r="F58" s="5" t="inlineStr"/>
    </row>
    <row r="59">
      <c r="A59" s="6" t="inlineStr">
        <is>
          <t>riconciliazione</t>
        </is>
      </c>
      <c r="B59" s="6" t="inlineStr">
        <is>
          <t>movimento_id</t>
        </is>
      </c>
      <c r="C59" s="6" t="inlineStr">
        <is>
          <t>FK movimenti</t>
        </is>
      </c>
      <c r="D59" s="6" t="inlineStr">
        <is>
          <t>movimenti</t>
        </is>
      </c>
      <c r="E59" s="6" t="inlineStr">
        <is>
          <t>Sì</t>
        </is>
      </c>
      <c r="F59" s="6" t="inlineStr">
        <is>
          <t>Il movimento bancario reale</t>
        </is>
      </c>
    </row>
    <row r="60">
      <c r="A60" s="5" t="inlineStr">
        <is>
          <t>riconciliazione</t>
        </is>
      </c>
      <c r="B60" s="5" t="inlineStr">
        <is>
          <t>scadenza_id</t>
        </is>
      </c>
      <c r="C60" s="5" t="inlineStr">
        <is>
          <t>FK scadenze</t>
        </is>
      </c>
      <c r="D60" s="5" t="inlineStr">
        <is>
          <t>scadenze</t>
        </is>
      </c>
      <c r="E60" s="5" t="inlineStr">
        <is>
          <t>Sì</t>
        </is>
      </c>
      <c r="F60" s="5" t="inlineStr">
        <is>
          <t>La scadenza/fattura di origine</t>
        </is>
      </c>
    </row>
    <row r="61">
      <c r="A61" s="6" t="inlineStr">
        <is>
          <t>riconciliazione</t>
        </is>
      </c>
      <c r="B61" s="6" t="inlineStr">
        <is>
          <t>importo_attribuito</t>
        </is>
      </c>
      <c r="C61" s="6" t="inlineStr">
        <is>
          <t>decimal €</t>
        </is>
      </c>
      <c r="D61" s="6" t="inlineStr">
        <is>
          <t>—</t>
        </is>
      </c>
      <c r="E61" s="6" t="inlineStr">
        <is>
          <t>Sì</t>
        </is>
      </c>
      <c r="F61" s="6" t="inlineStr">
        <is>
          <t>Mai &gt; importo movimento (invariante 5). Somma su scadenza ≤ importo scadenza</t>
        </is>
      </c>
    </row>
    <row r="62">
      <c r="A62" s="5" t="inlineStr">
        <is>
          <t>riconciliazione</t>
        </is>
      </c>
      <c r="B62" s="5" t="inlineStr">
        <is>
          <t>tipo</t>
        </is>
      </c>
      <c r="C62" s="5" t="inlineStr">
        <is>
          <t>enum</t>
        </is>
      </c>
      <c r="D62" s="5" t="inlineStr">
        <is>
          <t>—</t>
        </is>
      </c>
      <c r="E62" s="5" t="inlineStr">
        <is>
          <t>Sì</t>
        </is>
      </c>
      <c r="F62" s="5" t="inlineStr">
        <is>
          <t>S = Saldo (chiude la scadenza) / A = Acconto (parziale, residuo aperto)</t>
        </is>
      </c>
    </row>
    <row r="63">
      <c r="A63" s="6" t="inlineStr">
        <is>
          <t>riconciliazione</t>
        </is>
      </c>
      <c r="B63" s="6" t="inlineStr">
        <is>
          <t>reversibile</t>
        </is>
      </c>
      <c r="C63" s="6" t="inlineStr">
        <is>
          <t>—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Dissociabile: annullare riapre la scadenza, ricalcola residui e sentinella (invariante 8)</t>
        </is>
      </c>
    </row>
    <row r="64">
      <c r="A64" s="5" t="inlineStr">
        <is>
          <t>riconciliazione</t>
        </is>
      </c>
      <c r="B64" s="5" t="inlineStr">
        <is>
          <t>ritardo_gg</t>
        </is>
      </c>
      <c r="C64" s="5" t="inlineStr">
        <is>
          <t>CALCOLATO</t>
        </is>
      </c>
      <c r="D64" s="5" t="inlineStr">
        <is>
          <t>—</t>
        </is>
      </c>
      <c r="E64" s="5" t="inlineStr">
        <is>
          <t>No</t>
        </is>
      </c>
      <c r="F64" s="5" t="inlineStr">
        <is>
          <t>Per incassi: data_cassa − data_attesa. Storico puntualità cliente → DSO/rating</t>
        </is>
      </c>
    </row>
    <row r="65" ht="18" customHeight="1">
      <c r="A65" s="12" t="inlineStr">
        <is>
          <t>TABELLA F — fattura_commessa  (link manuale N:N: alloca il ricavo della fattura alle commesse)</t>
        </is>
      </c>
      <c r="B65" s="17" t="n"/>
      <c r="C65" s="17" t="n"/>
      <c r="D65" s="17" t="n"/>
      <c r="E65" s="17" t="n"/>
      <c r="F65" s="18" t="n"/>
    </row>
    <row r="66">
      <c r="A66" s="5" t="inlineStr">
        <is>
          <t>fattura_commessa</t>
        </is>
      </c>
      <c r="B66" s="5" t="inlineStr">
        <is>
          <t>id</t>
        </is>
      </c>
      <c r="C66" s="5" t="inlineStr">
        <is>
          <t>PK int</t>
        </is>
      </c>
      <c r="D66" s="5" t="inlineStr">
        <is>
          <t>—</t>
        </is>
      </c>
      <c r="E66" s="5" t="inlineStr">
        <is>
          <t>Sì</t>
        </is>
      </c>
      <c r="F66" s="5" t="inlineStr"/>
    </row>
    <row r="67">
      <c r="A67" s="6" t="inlineStr">
        <is>
          <t>fattura_commessa</t>
        </is>
      </c>
      <c r="B67" s="6" t="inlineStr">
        <is>
          <t>fattura_id</t>
        </is>
      </c>
      <c r="C67" s="6" t="inlineStr">
        <is>
          <t>FK fatture</t>
        </is>
      </c>
      <c r="D67" s="6" t="inlineStr">
        <is>
          <t>FIC</t>
        </is>
      </c>
      <c r="E67" s="6" t="inlineStr">
        <is>
          <t>Sì</t>
        </is>
      </c>
      <c r="F67" s="6" t="inlineStr">
        <is>
          <t>Fattura attiva o passiva (foglio 12 / passive)</t>
        </is>
      </c>
    </row>
    <row r="68">
      <c r="A68" s="5" t="inlineStr">
        <is>
          <t>fattura_commessa</t>
        </is>
      </c>
      <c r="B68" s="5" t="inlineStr">
        <is>
          <t>commessa_id</t>
        </is>
      </c>
      <c r="C68" s="5" t="inlineStr">
        <is>
          <t>FK Commesse</t>
        </is>
      </c>
      <c r="D68" s="5" t="inlineStr">
        <is>
          <t>Commesse</t>
        </is>
      </c>
      <c r="E68" s="5" t="inlineStr">
        <is>
          <t>Sì</t>
        </is>
      </c>
      <c r="F68" s="5" t="inlineStr">
        <is>
          <t>Commessa del cliente a cui si alloca la quota</t>
        </is>
      </c>
    </row>
    <row r="69">
      <c r="A69" s="6" t="inlineStr">
        <is>
          <t>fattura_commessa</t>
        </is>
      </c>
      <c r="B69" s="6" t="inlineStr">
        <is>
          <t>importo_allocato</t>
        </is>
      </c>
      <c r="C69" s="6" t="inlineStr">
        <is>
          <t>decimal €</t>
        </is>
      </c>
      <c r="D69" s="6" t="inlineStr">
        <is>
          <t>—</t>
        </is>
      </c>
      <c r="E69" s="6" t="inlineStr">
        <is>
          <t>Sì</t>
        </is>
      </c>
      <c r="F69" s="6" t="inlineStr">
        <is>
          <t>Quota di imponibile sulla commessa. INVARIANTE: Σ allocazioni di una fattura = imponibile (no doppio conteggio del ricavo)</t>
        </is>
      </c>
    </row>
    <row r="71">
      <c r="A71" s="25" t="inlineStr">
        <is>
          <t>LOCK DI COMPETENZA (chiusura mensile, §13.6)</t>
        </is>
      </c>
    </row>
    <row r="72">
      <c r="A72" s="25" t="inlineStr">
        <is>
          <t>Movimento in mese chiuso</t>
        </is>
      </c>
      <c r="B72" t="inlineStr">
        <is>
          <t>data_competenza in periodo chiuso → IMMUTABILE</t>
        </is>
      </c>
      <c r="C72" t="inlineStr">
        <is>
          <t>invariante</t>
        </is>
      </c>
      <c r="D72" t="inlineStr">
        <is>
          <t>—</t>
        </is>
      </c>
      <c r="E72" t="inlineStr">
        <is>
          <t>—</t>
        </is>
      </c>
      <c r="F72" t="inlineStr">
        <is>
          <t>Correzioni = scrittura di rettifica nel periodo aperto. Il lock NON blocca la cassa (riconciliazione data_cassa sempre possibile)</t>
        </is>
      </c>
    </row>
    <row r="74">
      <c r="A74" s="25" t="inlineStr">
        <is>
          <t>RIPARTIZIONE TEMPORALE DEL COSTO (risconto gestionale, §5.1/§8)</t>
        </is>
      </c>
    </row>
    <row r="75">
      <c r="A75" s="25" t="inlineStr">
        <is>
          <t>ripartizione_competenza_mesi</t>
        </is>
      </c>
      <c r="B75" t="inlineStr">
        <is>
          <t>int (default 1)</t>
        </is>
      </c>
      <c r="C75" t="inlineStr">
        <is>
          <t>ERP</t>
        </is>
      </c>
      <c r="D75" t="inlineStr">
        <is>
          <t>int</t>
        </is>
      </c>
      <c r="E75" t="inlineStr">
        <is>
          <t>No</t>
        </is>
      </c>
      <c r="F75" t="inlineStr">
        <is>
          <t>Se &gt; 1: CE riconosce importo÷N per N mesi in competenza; cassa = unica uscita su data_cassa. Gemello lato costo dei Siti. NON ammortamento contabile</t>
        </is>
      </c>
    </row>
  </sheetData>
  <mergeCells count="8">
    <mergeCell ref="A2:F2"/>
    <mergeCell ref="A44:F44"/>
    <mergeCell ref="A1:F1"/>
    <mergeCell ref="A5:F5"/>
    <mergeCell ref="A30:F30"/>
    <mergeCell ref="A53:F53"/>
    <mergeCell ref="A65:F65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22" customWidth="1" min="3" max="3"/>
    <col width="14" customWidth="1" min="4" max="4"/>
    <col width="30" customWidth="1" min="5" max="5"/>
  </cols>
  <sheetData>
    <row r="1" ht="26" customHeight="1">
      <c r="A1" s="1" t="inlineStr">
        <is>
          <t>Livello 3 — Viste &amp; KPI (aggregazioni, nessun dato proprio)</t>
        </is>
      </c>
    </row>
    <row r="2" ht="28" customHeight="1">
      <c r="A2" s="2" t="inlineStr">
        <is>
          <t>Ogni sezione UI è una query sui Fatti. KPI con formula esplicita e dipendenze.</t>
        </is>
      </c>
    </row>
    <row r="4">
      <c r="A4" s="3" t="inlineStr">
        <is>
          <t>A) VISTE / SEZIONI UI</t>
        </is>
      </c>
    </row>
    <row r="5">
      <c r="A5" s="4" t="inlineStr">
        <is>
          <t>Sezione UI</t>
        </is>
      </c>
      <c r="B5" s="4" t="inlineStr">
        <is>
          <t>Deriva da</t>
        </is>
      </c>
      <c r="C5" s="4" t="inlineStr">
        <is>
          <t>Logica di aggregazione</t>
        </is>
      </c>
      <c r="D5" s="4" t="inlineStr">
        <is>
          <t>Filtri principali</t>
        </is>
      </c>
      <c r="E5" s="4" t="inlineStr">
        <is>
          <t>Note</t>
        </is>
      </c>
    </row>
    <row r="6">
      <c r="A6" s="5" t="inlineStr">
        <is>
          <t>Tesoreria · Posizione cassa</t>
        </is>
      </c>
      <c r="B6" s="5" t="inlineStr">
        <is>
          <t>movimenti</t>
        </is>
      </c>
      <c r="C6" s="5" t="inlineStr">
        <is>
          <t>saldo_iniziale conto + Σ movimenti regolati (data_cassa ≤ oggi)</t>
        </is>
      </c>
      <c r="D6" s="5" t="inlineStr">
        <is>
          <t>per conto / aggregato</t>
        </is>
      </c>
      <c r="E6" s="5" t="inlineStr">
        <is>
          <t>KPI operativi qui (saldo, disponibile = saldo+fido)</t>
        </is>
      </c>
    </row>
    <row r="7">
      <c r="A7" s="6" t="inlineStr">
        <is>
          <t>Tesoreria · Movimenti</t>
        </is>
      </c>
      <c r="B7" s="6" t="inlineStr">
        <is>
          <t>movimenti</t>
        </is>
      </c>
      <c r="C7" s="6" t="inlineStr">
        <is>
          <t>Lista filtrabile</t>
        </is>
      </c>
      <c r="D7" s="6" t="inlineStr">
        <is>
          <t>data, conto, categoria, commessa, stato</t>
        </is>
      </c>
      <c r="E7" s="6" t="inlineStr"/>
    </row>
    <row r="8">
      <c r="A8" s="5" t="inlineStr">
        <is>
          <t>Tesoreria · Riconciliazione</t>
        </is>
      </c>
      <c r="B8" s="5" t="inlineStr">
        <is>
          <t>movimenti + Tab. E</t>
        </is>
      </c>
      <c r="C8" s="5" t="inlineStr">
        <is>
          <t>Match movimento banca ↔ scadenza/e (M:N)</t>
        </is>
      </c>
      <c r="D8" s="5" t="inlineStr">
        <is>
          <t>non riconciliati</t>
        </is>
      </c>
      <c r="E8" s="5" t="inlineStr">
        <is>
          <t>Aggiorna stato_riconc via Tabella E (foglio 2); S/A; dissociabile</t>
        </is>
      </c>
    </row>
    <row r="9">
      <c r="A9" s="6" t="inlineStr">
        <is>
          <t>Tesoreria · Import e/c CBI</t>
        </is>
      </c>
      <c r="B9" s="6" t="inlineStr">
        <is>
          <t>movimenti</t>
        </is>
      </c>
      <c r="C9" s="6" t="inlineStr">
        <is>
          <t>Parsing file CBI → inserisce movimenti origine=banca_cbi</t>
        </is>
      </c>
      <c r="D9" s="6" t="inlineStr">
        <is>
          <t>—</t>
        </is>
      </c>
      <c r="E9" s="6" t="inlineStr">
        <is>
          <t>Staging prima della riconciliazione</t>
        </is>
      </c>
    </row>
    <row r="10">
      <c r="A10" s="5" t="inlineStr">
        <is>
          <t>Scadenzario</t>
        </is>
      </c>
      <c r="B10" s="5" t="inlineStr">
        <is>
          <t>scadenze</t>
        </is>
      </c>
      <c r="C10" s="5" t="inlineStr">
        <is>
          <t>Scadenze aperte/scadute raggruppate per data e controparte</t>
        </is>
      </c>
      <c r="D10" s="5" t="inlineStr">
        <is>
          <t>tipo, periodo, stato</t>
        </is>
      </c>
      <c r="E10" s="5" t="inlineStr">
        <is>
          <t>Definire cosa migliora vs FIC (aggregaz./previsione/extra-FIC)</t>
        </is>
      </c>
    </row>
    <row r="11">
      <c r="A11" s="6" t="inlineStr">
        <is>
          <t>Previsione 90gg</t>
        </is>
      </c>
      <c r="B11" s="6" t="inlineStr">
        <is>
          <t>movimenti + scadenze</t>
        </is>
      </c>
      <c r="C11" s="6" t="inlineStr">
        <is>
          <t>saldo oggi + Σ(scadenze attive − passive) per data futura</t>
        </is>
      </c>
      <c r="D11" s="6" t="inlineStr">
        <is>
          <t>orizzonte 90gg</t>
        </is>
      </c>
      <c r="E11" s="6" t="inlineStr">
        <is>
          <t>Curva di tensione settimanale. Per la solvibilità vedi 'Previsione cassa 12m'</t>
        </is>
      </c>
    </row>
    <row r="12">
      <c r="A12" s="5" t="inlineStr">
        <is>
          <t>Fatturazione attiva</t>
        </is>
      </c>
      <c r="B12" s="5" t="inlineStr">
        <is>
          <t>movimenti</t>
        </is>
      </c>
      <c r="C12" s="5" t="inlineStr">
        <is>
          <t>Movimenti origine=fattura_fic, segno=entrata</t>
        </is>
      </c>
      <c r="D12" s="5" t="inlineStr">
        <is>
          <t>periodo, cliente, commessa</t>
        </is>
      </c>
      <c r="E12" s="5" t="inlineStr">
        <is>
          <t>Dati FIC + collegamento interno a commessa</t>
        </is>
      </c>
    </row>
    <row r="13">
      <c r="A13" s="6" t="inlineStr">
        <is>
          <t>Fatturazione passiva</t>
        </is>
      </c>
      <c r="B13" s="6" t="inlineStr">
        <is>
          <t>movimenti</t>
        </is>
      </c>
      <c r="C13" s="6" t="inlineStr">
        <is>
          <t>Movimenti origine=fattura_fic, segno=uscita</t>
        </is>
      </c>
      <c r="D13" s="6" t="inlineStr">
        <is>
          <t>periodo, fornitore</t>
        </is>
      </c>
      <c r="E13" s="6" t="inlineStr">
        <is>
          <t>Da FIC</t>
        </is>
      </c>
    </row>
    <row r="14">
      <c r="A14" s="5" t="inlineStr">
        <is>
          <t>Prima Nota</t>
        </is>
      </c>
      <c r="B14" s="5" t="inlineStr">
        <is>
          <t>movimenti</t>
        </is>
      </c>
      <c r="C14" s="5" t="inlineStr">
        <is>
          <t>Inserimento manuale utente → movimenti origine=prima_nota</t>
        </is>
      </c>
      <c r="D14" s="5" t="inlineStr">
        <is>
          <t>—</t>
        </is>
      </c>
      <c r="E14" s="5" t="inlineStr">
        <is>
          <t>Permessi + audit obbligatori (principio 7)</t>
        </is>
      </c>
    </row>
    <row r="15">
      <c r="A15" s="6" t="inlineStr">
        <is>
          <t>Fiscalità</t>
        </is>
      </c>
      <c r="B15" s="6" t="inlineStr">
        <is>
          <t>scadenze + movimenti</t>
        </is>
      </c>
      <c r="C15" s="6" t="inlineStr">
        <is>
          <t>Scadenze tipo fiscale/contributiva + saldo IVA cred/deb</t>
        </is>
      </c>
      <c r="D15" s="6" t="inlineStr">
        <is>
          <t>periodo, tributo</t>
        </is>
      </c>
      <c r="E15" s="6" t="inlineStr">
        <is>
          <t>Registrazione previsionale, non calcolo (principio 6). Modello operativo nel foglio 14</t>
        </is>
      </c>
    </row>
    <row r="16">
      <c r="A16" s="5" t="inlineStr">
        <is>
          <t>Crediti / Aging (aggiunta)</t>
        </is>
      </c>
      <c r="B16" s="5" t="inlineStr">
        <is>
          <t>scadenze</t>
        </is>
      </c>
      <c r="C16" s="5" t="inlineStr">
        <is>
          <t>Scaduto attivo per cliente, fasce 0-30/30-60/60-90/&gt;90</t>
        </is>
      </c>
      <c r="D16" s="5" t="inlineStr">
        <is>
          <t>cliente</t>
        </is>
      </c>
      <c r="E16" s="5" t="inlineStr">
        <is>
          <t>Sezione operativa dietro al KPI DSO; base solleciti</t>
        </is>
      </c>
    </row>
    <row r="17">
      <c r="A17" s="6" t="inlineStr">
        <is>
          <t>Budget vs Actual vs Forecast</t>
        </is>
      </c>
      <c r="B17" s="6" t="inlineStr">
        <is>
          <t>movimenti (competenza)</t>
        </is>
      </c>
      <c r="C17" s="6" t="inlineStr">
        <is>
          <t>Budget (piano) · Actual = Σ mov. per data_competenza · Forecast = Actual YTD + ri-previsione driver</t>
        </is>
      </c>
      <c r="D17" s="6" t="inlineStr">
        <is>
          <t>anno, mese, voce</t>
        </is>
      </c>
      <c r="E17" s="6" t="inlineStr">
        <is>
          <t>Economico, su competenza (≠ previsione cassa §9). Modello operativo nel foglio 15</t>
        </is>
      </c>
    </row>
    <row r="18">
      <c r="A18" s="5" t="inlineStr">
        <is>
          <t>Conto Economico gestionale</t>
        </is>
      </c>
      <c r="B18" s="5" t="inlineStr">
        <is>
          <t>movimenti (competenza)</t>
        </is>
      </c>
      <c r="C18" s="5" t="inlineStr">
        <is>
          <t>Σ movimenti per voce_ce → struttura a scalare</t>
        </is>
      </c>
      <c r="D18" s="5" t="inlineStr">
        <is>
          <t>periodo, commessa</t>
        </is>
      </c>
      <c r="E18" s="5" t="inlineStr">
        <is>
          <t>Roll-up della marginalità (principio 4). Vista per ULTIMO</t>
        </is>
      </c>
    </row>
    <row r="20">
      <c r="A20" s="3" t="inlineStr">
        <is>
          <t>B) KPI (una metrica, un posto)</t>
        </is>
      </c>
    </row>
    <row r="21">
      <c r="A21" s="4" t="inlineStr">
        <is>
          <t>KPI</t>
        </is>
      </c>
      <c r="B21" s="4" t="inlineStr">
        <is>
          <t>Formula</t>
        </is>
      </c>
      <c r="C21" s="4" t="inlineStr">
        <is>
          <t>Fonte dati</t>
        </is>
      </c>
      <c r="D21" s="4" t="inlineStr">
        <is>
          <t>Periodicità</t>
        </is>
      </c>
      <c r="E21" s="4" t="inlineStr">
        <is>
          <t>Note</t>
        </is>
      </c>
    </row>
    <row r="22">
      <c r="A22" s="5" t="inlineStr">
        <is>
          <t>Fatturato mensile</t>
        </is>
      </c>
      <c r="B22" s="5" t="inlineStr">
        <is>
          <t>Σ imponibile fatture attive per data_competenza nel mese</t>
        </is>
      </c>
      <c r="C22" s="5" t="inlineStr">
        <is>
          <t>movimenti</t>
        </is>
      </c>
      <c r="D22" s="5" t="inlineStr">
        <is>
          <t>Mensile</t>
        </is>
      </c>
      <c r="E22" s="5" t="inlineStr">
        <is>
          <t>Competenza</t>
        </is>
      </c>
    </row>
    <row r="23">
      <c r="A23" s="6" t="inlineStr">
        <is>
          <t>Incasso mensile</t>
        </is>
      </c>
      <c r="B23" s="6" t="inlineStr">
        <is>
          <t>Σ entrate (data_cassa) nel mese</t>
        </is>
      </c>
      <c r="C23" s="6" t="inlineStr">
        <is>
          <t>movimenti</t>
        </is>
      </c>
      <c r="D23" s="6" t="inlineStr">
        <is>
          <t>Mensile</t>
        </is>
      </c>
      <c r="E23" s="6" t="inlineStr">
        <is>
          <t>Cassa</t>
        </is>
      </c>
    </row>
    <row r="24">
      <c r="A24" s="5" t="inlineStr">
        <is>
          <t>Margine lordo</t>
        </is>
      </c>
      <c r="B24" s="5" t="inlineStr">
        <is>
          <t>Ricavi competenza − costi diretti (categorie diretto+variabile)</t>
        </is>
      </c>
      <c r="C24" s="5" t="inlineStr">
        <is>
          <t>movimenti/commesse</t>
        </is>
      </c>
      <c r="D24" s="5" t="inlineStr">
        <is>
          <t>Mensile</t>
        </is>
      </c>
      <c r="E24" s="5" t="inlineStr">
        <is>
          <t>Roll-up commessa</t>
        </is>
      </c>
    </row>
    <row r="25">
      <c r="A25" s="6" t="inlineStr">
        <is>
          <t>Margine operativo</t>
        </is>
      </c>
      <c r="B25" s="6" t="inlineStr">
        <is>
          <t>Margine lordo − overhead (costi struttura/indiretti)</t>
        </is>
      </c>
      <c r="C25" s="6" t="inlineStr">
        <is>
          <t>movimenti</t>
        </is>
      </c>
      <c r="D25" s="6" t="inlineStr">
        <is>
          <t>Mensile</t>
        </is>
      </c>
      <c r="E25" s="6">
        <f> EBIT gestionale</f>
        <v/>
      </c>
    </row>
    <row r="26">
      <c r="A26" s="5" t="inlineStr">
        <is>
          <t>DSO aziendale (dso_aziendale)</t>
        </is>
      </c>
      <c r="B26" s="5" t="inlineStr">
        <is>
          <t>(Crediti aperti ÷ Fatturato periodo) × giorni</t>
        </is>
      </c>
      <c r="C26" s="5" t="inlineStr">
        <is>
          <t>scadenze attive</t>
        </is>
      </c>
      <c r="D26" s="5" t="inlineStr">
        <is>
          <t>Mensile</t>
        </is>
      </c>
      <c r="E26" s="5" t="inlineStr">
        <is>
          <t>KPI aggregato. DIVERSO dal dso_comportamentale per cliente (foglio 1), che è comportamentale e serve alla previsione</t>
        </is>
      </c>
    </row>
    <row r="27">
      <c r="A27" s="6" t="inlineStr">
        <is>
          <t>DPO</t>
        </is>
      </c>
      <c r="B27" s="6" t="inlineStr">
        <is>
          <t>(Debiti aperti ÷ Acquisti periodo) × giorni</t>
        </is>
      </c>
      <c r="C27" s="6" t="inlineStr">
        <is>
          <t>scadenze passive</t>
        </is>
      </c>
      <c r="D27" s="6" t="inlineStr">
        <is>
          <t>Mensile</t>
        </is>
      </c>
      <c r="E27" s="6" t="inlineStr"/>
    </row>
    <row r="28">
      <c r="A28" s="5" t="inlineStr">
        <is>
          <t>Burn rate</t>
        </is>
      </c>
      <c r="B28" s="5" t="inlineStr">
        <is>
          <t>Media mensile (uscite cassa − entrate cassa)</t>
        </is>
      </c>
      <c r="C28" s="5" t="inlineStr">
        <is>
          <t>movimenti</t>
        </is>
      </c>
      <c r="D28" s="5" t="inlineStr">
        <is>
          <t>Mensile</t>
        </is>
      </c>
      <c r="E28" s="5" t="inlineStr">
        <is>
          <t>Rilevante quando netto negativo</t>
        </is>
      </c>
    </row>
    <row r="29">
      <c r="A29" s="6" t="inlineStr">
        <is>
          <t>Runway</t>
        </is>
      </c>
      <c r="B29" s="6" t="inlineStr">
        <is>
          <t>Saldo cassa attuale ÷ burn rate mensile</t>
        </is>
      </c>
      <c r="C29" s="6" t="inlineStr">
        <is>
          <t>movimenti/conti</t>
        </is>
      </c>
      <c r="D29" s="6" t="inlineStr">
        <is>
          <t>Mensile</t>
        </is>
      </c>
      <c r="E29" s="6" t="inlineStr">
        <is>
          <t>Mesi di autonomia</t>
        </is>
      </c>
    </row>
    <row r="30">
      <c r="A30" s="5" t="inlineStr">
        <is>
          <t>Costi fissi mensili</t>
        </is>
      </c>
      <c r="B30" s="5" t="inlineStr">
        <is>
          <t>Σ movimenti competenza con categoria.natura = FISSO</t>
        </is>
      </c>
      <c r="C30" s="5" t="inlineStr">
        <is>
          <t>movimenti</t>
        </is>
      </c>
      <c r="D30" s="5" t="inlineStr">
        <is>
          <t>Mensile</t>
        </is>
      </c>
      <c r="E30" s="5" t="inlineStr">
        <is>
          <t>Richiede tag fisso/variabile (principio 8)</t>
        </is>
      </c>
    </row>
    <row r="31">
      <c r="A31" s="6" t="inlineStr">
        <is>
          <t>BEP</t>
        </is>
      </c>
      <c r="B31" s="6" t="inlineStr">
        <is>
          <t>Costi fissi ÷ margine di contribuzione % ; MdC% = 1 − (costi variabili ÷ ricavi)</t>
        </is>
      </c>
      <c r="C31" s="6" t="inlineStr">
        <is>
          <t>movimenti</t>
        </is>
      </c>
      <c r="D31" s="6" t="inlineStr">
        <is>
          <t>Mensile</t>
        </is>
      </c>
      <c r="E31" s="6" t="inlineStr">
        <is>
          <t>Dipende dal tag natura</t>
        </is>
      </c>
    </row>
    <row r="32">
      <c r="A32" s="5" t="inlineStr">
        <is>
          <t>Scostamento budget</t>
        </is>
      </c>
      <c r="B32" s="5" t="inlineStr">
        <is>
          <t>Actual − Budget (mesi chiusi) e Forecast − Budget (atterraggio)</t>
        </is>
      </c>
      <c r="C32" s="5" t="inlineStr">
        <is>
          <t>movimenti + budget</t>
        </is>
      </c>
      <c r="D32" s="5" t="inlineStr">
        <is>
          <t>Mensile</t>
        </is>
      </c>
      <c r="E32" s="5" t="inlineStr">
        <is>
          <t>% e valore assoluto. Due scostamenti distinti (foglio 15)</t>
        </is>
      </c>
    </row>
    <row r="33">
      <c r="A33" s="6" t="inlineStr">
        <is>
          <t>PFN (aggiunta)</t>
        </is>
      </c>
      <c r="B33" s="6" t="inlineStr">
        <is>
          <t>Debiti finanziari − liquidità (cassa + conti)</t>
        </is>
      </c>
      <c r="C33" s="6" t="inlineStr">
        <is>
          <t>conti + finanziamenti</t>
        </is>
      </c>
      <c r="D33" s="6" t="inlineStr">
        <is>
          <t>Mensile</t>
        </is>
      </c>
      <c r="E33" s="6" t="inlineStr">
        <is>
          <t>Richiede anagrafica Finanziamenti</t>
        </is>
      </c>
    </row>
    <row r="34">
      <c r="A34" s="6" t="inlineStr">
        <is>
          <t>Saldo IVA di periodo</t>
        </is>
      </c>
      <c r="B34" s="6" t="inlineStr">
        <is>
          <t>IVA a debito (incassi SDI) − IVA a credito (pagamenti SDI × detraib.)</t>
        </is>
      </c>
      <c r="C34" s="6" t="inlineStr">
        <is>
          <t>movimenti</t>
        </is>
      </c>
      <c r="D34" s="6" t="inlineStr">
        <is>
          <t>Trimestrale</t>
        </is>
      </c>
      <c r="E34" s="6" t="inlineStr">
        <is>
          <t>Per cassa, liquidazione reale (foglio 14). &gt;0 versa, &lt;0 credito riportato</t>
        </is>
      </c>
    </row>
    <row r="35">
      <c r="A35" s="6" t="inlineStr">
        <is>
          <t>Carico fiscale stimato</t>
        </is>
      </c>
      <c r="B35" s="6" t="inlineStr">
        <is>
          <t>Σ tributi previsti dell'anno con impatta_cassa_bite = true</t>
        </is>
      </c>
      <c r="C35" s="6" t="inlineStr">
        <is>
          <t>scadenze fiscali/contributive</t>
        </is>
      </c>
      <c r="D35" s="6" t="inlineStr">
        <is>
          <t>Annuale/rolling</t>
        </is>
      </c>
      <c r="E35" s="6" t="inlineStr">
        <is>
          <t>Stima per il forecast; reale sovrascrive (foglio 14)</t>
        </is>
      </c>
    </row>
    <row r="36">
      <c r="A36" s="5" t="inlineStr">
        <is>
          <t>Forecast atterraggio FY</t>
        </is>
      </c>
      <c r="B36" s="5" t="inlineStr">
        <is>
          <t>Roll-up forecast: Fatturato / MdC / EBIT gest. / Risultato netto attesi a fine anno</t>
        </is>
      </c>
      <c r="C36" s="5" t="inlineStr">
        <is>
          <t>movimenti + budget + driver</t>
        </is>
      </c>
      <c r="D36" s="5" t="inlineStr">
        <is>
          <t>Mensile (rolling)</t>
        </is>
      </c>
      <c r="E36" s="5" t="inlineStr">
        <is>
          <t>Actual YTD + proiezione mesi residui (foglio 15)</t>
        </is>
      </c>
    </row>
    <row r="37">
      <c r="A37" s="5" t="inlineStr">
        <is>
          <t>Forecast accuracy</t>
        </is>
      </c>
      <c r="B37" s="5" t="inlineStr">
        <is>
          <t>Scarto forecast(t) vs actual poi realizzato</t>
        </is>
      </c>
      <c r="C37" s="5" t="inlineStr">
        <is>
          <t>snapshot forecast</t>
        </is>
      </c>
      <c r="D37" s="5" t="inlineStr">
        <is>
          <t>A posteriori</t>
        </is>
      </c>
      <c r="E37" s="5" t="inlineStr">
        <is>
          <t>Misura qualità previsioni; affina i parametri (foglio 15)</t>
        </is>
      </c>
    </row>
    <row r="38">
      <c r="A38" s="6" t="inlineStr">
        <is>
          <t>Preventivatore</t>
        </is>
      </c>
      <c r="B38" s="6" t="inlineStr">
        <is>
          <t>preventivo + preventivo_riga</t>
        </is>
      </c>
      <c r="C38" s="6" t="inlineStr">
        <is>
          <t>Cost-up (markup) / price-down (allocazione); trade-off ore; check capacità</t>
        </is>
      </c>
      <c r="D38" s="6" t="inlineStr">
        <is>
          <t>cliente, stato</t>
        </is>
      </c>
      <c r="E38" s="6" t="inlineStr">
        <is>
          <t>Origine di accordo_economico + pipeline (foglio 16). Gemello ex-ante di §4.5</t>
        </is>
      </c>
    </row>
    <row r="40">
      <c r="A40" s="25" t="inlineStr">
        <is>
          <t>Coefficiente OVH (rolling)</t>
        </is>
      </c>
      <c r="B40" t="inlineStr">
        <is>
          <t>overhead struttura previsto ÷ base ricavi prevista (rolling 12m avanti)</t>
        </is>
      </c>
      <c r="C40" t="inlineStr">
        <is>
          <t>budget/forecast</t>
        </is>
      </c>
      <c r="D40" t="inlineStr">
        <is>
          <t>Mensile (rolling)</t>
        </is>
      </c>
      <c r="E40" t="inlineStr">
        <is>
          <t>Ricalcolato a ogni chiusura; forward-looking (§4.5, §13.2). Tetto allo scostamento tra refresh</t>
        </is>
      </c>
    </row>
    <row r="41">
      <c r="A41" s="25" t="inlineStr">
        <is>
          <t>Varianza di assorbimento OVH</t>
        </is>
      </c>
      <c r="B41" t="inlineStr">
        <is>
          <t>overhead reale − overhead caricato (Σ coeff × basi)</t>
        </is>
      </c>
      <c r="C41" t="inlineStr">
        <is>
          <t>movimenti + commesse</t>
        </is>
      </c>
      <c r="D41" t="inlineStr">
        <is>
          <t>Mensile</t>
        </is>
      </c>
      <c r="E41" t="inlineStr">
        <is>
          <t>Sotto/sovra-assorbimento a livello aziendale, non sulle commesse. Segnale struttura-vs-delivery (§4.5, §8)</t>
        </is>
      </c>
    </row>
    <row r="43">
      <c r="A43" s="25" t="inlineStr">
        <is>
          <t>Previsione cassa 12m</t>
        </is>
      </c>
      <c r="B43" t="inlineStr">
        <is>
          <t>movimenti + scadenze + forecast</t>
        </is>
      </c>
      <c r="C43" t="inlineStr">
        <is>
          <t>saldo oggi + Σ mensile (ricorrenti + scadenze fiscali impatta_cassa_bite + ricavi forecast via DSO/DPO)</t>
        </is>
      </c>
      <c r="D43" t="inlineStr">
        <is>
          <t>orizzonte 12m, mensile</t>
        </is>
      </c>
      <c r="E43" t="inlineStr">
        <is>
          <t>Lente di solvibilità (90gg = tensione). A bande certo/previsto. Soglia+alert estesi al minimo 12m. Calcolata, non archiviata (§9)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16" customWidth="1" min="3" max="3"/>
    <col width="45" customWidth="1" min="4" max="4"/>
  </cols>
  <sheetData>
    <row r="1" ht="26" customHeight="1">
      <c r="A1" s="1" t="inlineStr">
        <is>
          <t>Sequenza di sviluppo consigliata</t>
        </is>
      </c>
    </row>
    <row r="2" ht="28" customHeight="1">
      <c r="A2" s="2" t="inlineStr">
        <is>
          <t>Ordine per dipendenze. I derivati (CE gestionale) per ultimi.</t>
        </is>
      </c>
    </row>
    <row r="4">
      <c r="A4" s="4" t="inlineStr">
        <is>
          <t>Fase</t>
        </is>
      </c>
      <c r="B4" s="4" t="inlineStr">
        <is>
          <t>Cosa</t>
        </is>
      </c>
      <c r="C4" s="4" t="inlineStr">
        <is>
          <t>Dipende da</t>
        </is>
      </c>
      <c r="D4" s="4" t="inlineStr">
        <is>
          <t>Perché in quest'ordine</t>
        </is>
      </c>
    </row>
    <row r="5">
      <c r="A5" s="6" t="inlineStr">
        <is>
          <t>1</t>
        </is>
      </c>
      <c r="B5" s="6" t="inlineStr">
        <is>
          <t>Modello dati: Dimensioni + movimenti (doppia data) + scadenze + ricorrenze</t>
        </is>
      </c>
      <c r="C5" s="6" t="inlineStr">
        <is>
          <t>—</t>
        </is>
      </c>
      <c r="D5" s="6" t="inlineStr">
        <is>
          <t>Fondamenta. Nessuna UI prima di questo</t>
        </is>
      </c>
    </row>
    <row r="6">
      <c r="A6" s="5" t="inlineStr">
        <is>
          <t>2</t>
        </is>
      </c>
      <c r="B6" s="5" t="inlineStr">
        <is>
          <t>Tesoreria: movimenti, import e/c CBI, riconciliazione, posizione cassa</t>
        </is>
      </c>
      <c r="C6" s="5" t="inlineStr">
        <is>
          <t>Fase 1</t>
        </is>
      </c>
      <c r="D6" s="5" t="inlineStr">
        <is>
          <t>Primo valore tangibile, dati reali</t>
        </is>
      </c>
    </row>
    <row r="7">
      <c r="A7" s="6" t="inlineStr">
        <is>
          <t>3</t>
        </is>
      </c>
      <c r="B7" s="6" t="inlineStr">
        <is>
          <t>Fatturazione / Prima Nota → alimentano movimenti</t>
        </is>
      </c>
      <c r="C7" s="6" t="inlineStr">
        <is>
          <t>Fase 1-2</t>
        </is>
      </c>
      <c r="D7" s="6" t="inlineStr">
        <is>
          <t>Popolano il libro unico</t>
        </is>
      </c>
    </row>
    <row r="8">
      <c r="A8" s="5" t="inlineStr">
        <is>
          <t>4</t>
        </is>
      </c>
      <c r="B8" s="5" t="inlineStr">
        <is>
          <t>Scadenze (fatture + fiscali + ricorrenti) → Previsione 90gg</t>
        </is>
      </c>
      <c r="C8" s="5" t="inlineStr">
        <is>
          <t>Fase 1-3</t>
        </is>
      </c>
      <c r="D8" s="5" t="inlineStr">
        <is>
          <t>Serve il libro movimenti popolato</t>
        </is>
      </c>
    </row>
    <row r="9">
      <c r="A9" s="6" t="inlineStr">
        <is>
          <t>5</t>
        </is>
      </c>
      <c r="B9" s="6" t="inlineStr">
        <is>
          <t>KPI direzionali: runway, burn, DSO/DPO</t>
        </is>
      </c>
      <c r="C9" s="6" t="inlineStr">
        <is>
          <t>Fase 2-4</t>
        </is>
      </c>
      <c r="D9" s="6" t="inlineStr">
        <is>
          <t>Calcolabili presto, alto valore decisionale</t>
        </is>
      </c>
    </row>
    <row r="10">
      <c r="A10" s="5" t="inlineStr">
        <is>
          <t>6</t>
        </is>
      </c>
      <c r="B10" s="5" t="inlineStr">
        <is>
          <t>Fiscalità: registrazione previsionale, import F24 telematico</t>
        </is>
      </c>
      <c r="C10" s="5" t="inlineStr">
        <is>
          <t>Fase 1-4</t>
        </is>
      </c>
      <c r="D10" s="5" t="inlineStr">
        <is>
          <t>F24 telematico prima del parsing PDF/OCR (fase 2)</t>
        </is>
      </c>
    </row>
    <row r="11">
      <c r="A11" s="6" t="inlineStr">
        <is>
          <t>7</t>
        </is>
      </c>
      <c r="B11" s="6" t="inlineStr">
        <is>
          <t>Budget / Forecast</t>
        </is>
      </c>
      <c r="C11" s="6" t="inlineStr">
        <is>
          <t>Fase 1-5</t>
        </is>
      </c>
      <c r="D11" s="6" t="inlineStr">
        <is>
          <t>Confronto con actual già disponibile</t>
        </is>
      </c>
    </row>
    <row r="12">
      <c r="A12" s="5" t="inlineStr">
        <is>
          <t>8</t>
        </is>
      </c>
      <c r="B12" s="5" t="inlineStr">
        <is>
          <t>Conto Economico gestionale (roll-up)</t>
        </is>
      </c>
      <c r="C12" s="5" t="inlineStr">
        <is>
          <t>Tutte</t>
        </is>
      </c>
      <c r="D12" s="5" t="inlineStr">
        <is>
          <t>Derivato: richiede fatti consolidati</t>
        </is>
      </c>
    </row>
    <row r="13">
      <c r="A13" s="6" t="inlineStr">
        <is>
          <t>9</t>
        </is>
      </c>
      <c r="B13" s="6" t="inlineStr">
        <is>
          <t>Affinamenti (forza importo, alert, viste)</t>
        </is>
      </c>
      <c r="C13" s="6" t="inlineStr">
        <is>
          <t>Fase 7-8</t>
        </is>
      </c>
      <c r="D13" s="6" t="inlineStr">
        <is>
          <t>Scenari multipli ottimistico/pessimistico FUORI scope (brief §12): basta il forza importo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46" customWidth="1" min="5" max="5"/>
    <col width="40" customWidth="1" min="6" max="6"/>
  </cols>
  <sheetData>
    <row r="1" ht="26" customHeight="1">
      <c r="A1" s="1" t="inlineStr">
        <is>
          <t>Vista dettaglio — Pagina Cliente</t>
        </is>
      </c>
    </row>
    <row r="2" ht="28" customHeight="1">
      <c r="A2" s="2" t="inlineStr">
        <is>
          <t>Cosa mostra la scheda al click sul cliente. KPI = calcolati on-the-fly/snapshot; nessun dato proprio salvo i rating manuali.</t>
        </is>
      </c>
    </row>
    <row r="4">
      <c r="A4" s="4" t="inlineStr">
        <is>
          <t>Blocco</t>
        </is>
      </c>
      <c r="B4" s="4" t="inlineStr">
        <is>
          <t>Elemento</t>
        </is>
      </c>
      <c r="C4" s="4" t="inlineStr">
        <is>
          <t>Tipo</t>
        </is>
      </c>
      <c r="D4" s="4" t="inlineStr">
        <is>
          <t>Fonte / Deriv.</t>
        </is>
      </c>
      <c r="E4" s="4" t="inlineStr">
        <is>
          <t>Logica di calcolo / contenuto</t>
        </is>
      </c>
      <c r="F4" s="4" t="inlineStr">
        <is>
          <t>Note &amp; decisioni aperte</t>
        </is>
      </c>
    </row>
    <row r="5" ht="18" customHeight="1">
      <c r="A5" s="12" t="inlineStr">
        <is>
          <t>HEADER — KPI IN EVIDENZA</t>
        </is>
      </c>
      <c r="B5" s="17" t="n"/>
      <c r="C5" s="17" t="n"/>
      <c r="D5" s="17" t="n"/>
      <c r="E5" s="17" t="n"/>
      <c r="F5" s="18" t="n"/>
    </row>
    <row r="6">
      <c r="A6" s="5" t="inlineStr">
        <is>
          <t>Header</t>
        </is>
      </c>
      <c r="B6" s="5" t="inlineStr">
        <is>
          <t>Client Health Score</t>
        </is>
      </c>
      <c r="C6" s="5" t="inlineStr">
        <is>
          <t>KPI 0-100</t>
        </is>
      </c>
      <c r="D6" s="15" t="inlineStr">
        <is>
          <t>CALCOLATO</t>
        </is>
      </c>
      <c r="E6" s="5" t="inlineStr">
        <is>
          <t>Media pesata (proposta): puntualità pagamenti 30% + marginalità media commesse 25% + trend fatturato 12m 20% + stabilità 15% + anzianità relazione 10%</t>
        </is>
      </c>
      <c r="F6" s="5" t="inlineStr">
        <is>
          <t>Banda: Verde ≥70 / Giallo 40-69 / Rosso &lt;40. Pesi da confermare</t>
        </is>
      </c>
    </row>
    <row r="7">
      <c r="A7" s="6" t="inlineStr">
        <is>
          <t>Header</t>
        </is>
      </c>
      <c r="B7" s="6" t="inlineStr">
        <is>
          <t>LTV</t>
        </is>
      </c>
      <c r="C7" s="6" t="inlineStr">
        <is>
          <t>KPI €</t>
        </is>
      </c>
      <c r="D7" s="15" t="inlineStr">
        <is>
          <t>CALCOLATO</t>
        </is>
      </c>
      <c r="E7" s="6" t="inlineStr">
        <is>
          <t>Margine lordo cumulato storico generato dal cliente</t>
        </is>
      </c>
      <c r="F7" s="6" t="inlineStr">
        <is>
          <t>Default = storico REALE (no stima). Proiezione mostrata a parte, non sommata</t>
        </is>
      </c>
    </row>
    <row r="8">
      <c r="A8" s="5" t="inlineStr">
        <is>
          <t>Header</t>
        </is>
      </c>
      <c r="B8" s="5" t="inlineStr">
        <is>
          <t>DSO comportamentale medio</t>
        </is>
      </c>
      <c r="C8" s="5" t="inlineStr">
        <is>
          <t>KPI gg</t>
        </is>
      </c>
      <c r="D8" s="15" t="inlineStr">
        <is>
          <t>CALCOLATO</t>
        </is>
      </c>
      <c r="E8" s="5" t="inlineStr">
        <is>
          <t>Media gg incasso su finestra rolling 12 mesi</t>
        </is>
      </c>
      <c r="F8" s="5" t="inlineStr">
        <is>
          <t>Regole campione min. e fallback media aziendale (vedi anagrafica)</t>
        </is>
      </c>
    </row>
    <row r="9">
      <c r="A9" s="6" t="inlineStr">
        <is>
          <t>Header</t>
        </is>
      </c>
      <c r="B9" s="6" t="inlineStr">
        <is>
          <t>DSO ultime 3 fatture</t>
        </is>
      </c>
      <c r="C9" s="6" t="inlineStr">
        <is>
          <t>KPI gg</t>
        </is>
      </c>
      <c r="D9" s="15" t="inlineStr">
        <is>
          <t>CALCOLATO</t>
        </is>
      </c>
      <c r="E9" s="6" t="inlineStr">
        <is>
          <t>Media gg incasso delle ultime 3 fatture incassate</t>
        </is>
      </c>
      <c r="F9" s="6" t="inlineStr">
        <is>
          <t>Mostra il trend recente vs il medio (segnale di peggioramento)</t>
        </is>
      </c>
    </row>
    <row r="10">
      <c r="A10" s="5" t="inlineStr">
        <is>
          <t>Header</t>
        </is>
      </c>
      <c r="B10" s="5" t="inlineStr">
        <is>
          <t>N. progetti attivi</t>
        </is>
      </c>
      <c r="C10" s="5" t="inlineStr">
        <is>
          <t>KPI int</t>
        </is>
      </c>
      <c r="D10" s="15" t="inlineStr">
        <is>
          <t>CALCOLATO</t>
        </is>
      </c>
      <c r="E10" s="5" t="inlineStr">
        <is>
          <t>Count progetti con stato=attivo del cliente</t>
        </is>
      </c>
      <c r="F10" s="5" t="inlineStr">
        <is>
          <t>Cliccabile → lista Progetti attivi</t>
        </is>
      </c>
    </row>
    <row r="11">
      <c r="A11" s="6" t="inlineStr">
        <is>
          <t>Header</t>
        </is>
      </c>
      <c r="B11" s="6" t="inlineStr">
        <is>
          <t>Stabilità cliente</t>
        </is>
      </c>
      <c r="C11" s="6" t="inlineStr">
        <is>
          <t>Rating 1-5</t>
        </is>
      </c>
      <c r="D11" s="13" t="inlineStr">
        <is>
          <t>ERP/Utente</t>
        </is>
      </c>
      <c r="E11" s="6" t="inlineStr">
        <is>
          <t>Valutazione churn-risk assegnata dal team (1=a rischio, 5=solido)</t>
        </is>
      </c>
      <c r="F11" s="6" t="inlineStr">
        <is>
          <t>SOGGETTIVO. Opz.: suggerimento auto dai segnali (calo fatturato, ritardi pag., calo commesse)</t>
        </is>
      </c>
    </row>
    <row r="12">
      <c r="A12" s="5" t="inlineStr">
        <is>
          <t>Header</t>
        </is>
      </c>
      <c r="B12" s="5" t="inlineStr">
        <is>
          <t>Proiezione fatturato 12m</t>
        </is>
      </c>
      <c r="C12" s="5" t="inlineStr">
        <is>
          <t>KPI €</t>
        </is>
      </c>
      <c r="D12" s="15" t="inlineStr">
        <is>
          <t>CALCOLATO</t>
        </is>
      </c>
      <c r="E12" s="5" t="inlineStr">
        <is>
          <t>Ricorrenti: run-rate contratti attivi ×12 ×fattore_stabilità. Spot: media fatturato 12m ×fattore_stabilità</t>
        </is>
      </c>
      <c r="F12" s="5" t="inlineStr">
        <is>
          <t>fattore: 5→1.0 / 4→0.9 / 3→0.75 / 2→0.5 / 1→0.25. Eredita la soggettività del rating</t>
        </is>
      </c>
    </row>
    <row r="13" ht="18" customHeight="1">
      <c r="A13" s="12" t="inlineStr">
        <is>
          <t>TAB / LISTE</t>
        </is>
      </c>
      <c r="B13" s="17" t="n"/>
      <c r="C13" s="17" t="n"/>
      <c r="D13" s="17" t="n"/>
      <c r="E13" s="17" t="n"/>
      <c r="F13" s="18" t="n"/>
    </row>
    <row r="14">
      <c r="A14" s="5" t="inlineStr">
        <is>
          <t>Liste</t>
        </is>
      </c>
      <c r="B14" s="5" t="inlineStr">
        <is>
          <t>Storico commesse</t>
        </is>
      </c>
      <c r="C14" s="5" t="inlineStr">
        <is>
          <t>Lista</t>
        </is>
      </c>
      <c r="D14" s="13" t="inlineStr">
        <is>
          <t>ERP · Commesse</t>
        </is>
      </c>
      <c r="E14" s="5" t="inlineStr">
        <is>
          <t>Tutte le commesse (aperte+chiuse) con margine, periodo, stato</t>
        </is>
      </c>
      <c r="F14" s="5" t="inlineStr">
        <is>
          <t>Cliccabile → CommessaDetail</t>
        </is>
      </c>
    </row>
    <row r="15">
      <c r="A15" s="6" t="inlineStr">
        <is>
          <t>Liste</t>
        </is>
      </c>
      <c r="B15" s="6" t="inlineStr">
        <is>
          <t>Preventivi ed offerte</t>
        </is>
      </c>
      <c r="C15" s="6" t="inlineStr">
        <is>
          <t>Lista</t>
        </is>
      </c>
      <c r="D15" s="6" t="inlineStr">
        <is>
          <t>DA DEFINIRE</t>
        </is>
      </c>
      <c r="E15" s="6" t="inlineStr">
        <is>
          <t>Elenco preventivi/offerte emessi con stato (accettato / in attesa / perso)</t>
        </is>
      </c>
      <c r="F15" s="6" t="inlineStr">
        <is>
          <t>DECISIONE: fonte = proforma FIC o gestione offerte interna ERP?</t>
        </is>
      </c>
    </row>
    <row r="16">
      <c r="A16" s="5" t="inlineStr">
        <is>
          <t>Liste</t>
        </is>
      </c>
      <c r="B16" s="5" t="inlineStr">
        <is>
          <t>Fatture attive</t>
        </is>
      </c>
      <c r="C16" s="5" t="inlineStr">
        <is>
          <t>Lista</t>
        </is>
      </c>
      <c r="D16" s="14" t="inlineStr">
        <is>
          <t>FIC + movimenti</t>
        </is>
      </c>
      <c r="E16" s="5" t="inlineStr">
        <is>
          <t>Fatture emesse: incassate / aperte / scadute, con importo e scadenza</t>
        </is>
      </c>
      <c r="F16" s="5" t="inlineStr">
        <is>
          <t>Stato derivato dalla riconciliazione movimenti</t>
        </is>
      </c>
    </row>
    <row r="17">
      <c r="A17" s="6" t="inlineStr">
        <is>
          <t>Liste</t>
        </is>
      </c>
      <c r="B17" s="6" t="inlineStr">
        <is>
          <t>Progetti attivi</t>
        </is>
      </c>
      <c r="C17" s="6" t="inlineStr">
        <is>
          <t>Lista cliccabile</t>
        </is>
      </c>
      <c r="D17" s="13" t="inlineStr">
        <is>
          <t>ERP · Progetti</t>
        </is>
      </c>
      <c r="E17" s="6" t="inlineStr">
        <is>
          <t>Progetti con stato=attivo</t>
        </is>
      </c>
      <c r="F17" s="6" t="inlineStr">
        <is>
          <t>Link diretto alla pagina progetto</t>
        </is>
      </c>
    </row>
    <row r="18" ht="18" customHeight="1">
      <c r="A18" s="12" t="inlineStr">
        <is>
          <t>DATI ANAGRAFICI</t>
        </is>
      </c>
      <c r="B18" s="17" t="n"/>
      <c r="C18" s="17" t="n"/>
      <c r="D18" s="17" t="n"/>
      <c r="E18" s="17" t="n"/>
      <c r="F18" s="18" t="n"/>
    </row>
    <row r="19">
      <c r="A19" s="6" t="inlineStr">
        <is>
          <t>Dati</t>
        </is>
      </c>
      <c r="B19" s="6" t="inlineStr">
        <is>
          <t>Dati fatturazione</t>
        </is>
      </c>
      <c r="C19" s="6" t="inlineStr">
        <is>
          <t>Blocco anagrafico</t>
        </is>
      </c>
      <c r="D19" s="14" t="inlineStr">
        <is>
          <t>FIC</t>
        </is>
      </c>
      <c r="E19" s="6" t="inlineStr">
        <is>
          <t>Denominazione, P.IVA/CF, SDI, PEC, indirizzo, condizioni e termini di pagamento</t>
        </is>
      </c>
      <c r="F19" s="6" t="inlineStr">
        <is>
          <t>Sottoinsieme dell'anagrafica Clienti (foglio 1)</t>
        </is>
      </c>
    </row>
  </sheetData>
  <mergeCells count="5">
    <mergeCell ref="A2:F2"/>
    <mergeCell ref="A13:F13"/>
    <mergeCell ref="A1:F1"/>
    <mergeCell ref="A5:F5"/>
    <mergeCell ref="A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4" customWidth="1" min="3" max="3"/>
    <col width="40" customWidth="1" min="4" max="4"/>
    <col width="7" customWidth="1" min="5" max="5"/>
    <col width="42" customWidth="1" min="6" max="6"/>
  </cols>
  <sheetData>
    <row r="1" ht="26" customHeight="1">
      <c r="A1" s="1" t="inlineStr">
        <is>
          <t>Progetti — campi condizionali e modello di fatturazione per 'tipo'</t>
        </is>
      </c>
    </row>
    <row r="2" ht="28" customHeight="1">
      <c r="A2" s="2" t="inlineStr">
        <is>
          <t>Il campo 'tipo' (foglio 1) pilota questi campi e il modo in cui il progetto genera scadenze attive.</t>
        </is>
      </c>
    </row>
    <row r="4">
      <c r="A4" s="3" t="inlineStr">
        <is>
          <t>A) CAMPI CONDIZIONALI PER TIPO</t>
        </is>
      </c>
    </row>
    <row r="5">
      <c r="A5" s="4" t="inlineStr">
        <is>
          <t>Tipo (SE)</t>
        </is>
      </c>
      <c r="B5" s="4" t="inlineStr">
        <is>
          <t>Campo</t>
        </is>
      </c>
      <c r="C5" s="4" t="inlineStr">
        <is>
          <t>Tipo dato</t>
        </is>
      </c>
      <c r="D5" s="4" t="inlineStr">
        <is>
          <t>Picker / valori</t>
        </is>
      </c>
      <c r="E5" s="4" t="inlineStr">
        <is>
          <t>Obbl.</t>
        </is>
      </c>
      <c r="F5" s="4" t="inlineStr">
        <is>
          <t>Note</t>
        </is>
      </c>
    </row>
    <row r="6" ht="18" customHeight="1">
      <c r="A6" s="12" t="inlineStr">
        <is>
          <t>SE tipo = Social Media</t>
        </is>
      </c>
      <c r="B6" s="17" t="n"/>
      <c r="C6" s="17" t="n"/>
      <c r="D6" s="17" t="n"/>
      <c r="E6" s="17" t="n"/>
      <c r="F6" s="18" t="n"/>
    </row>
    <row r="7">
      <c r="A7" s="6" t="inlineStr">
        <is>
          <t>Social</t>
        </is>
      </c>
      <c r="B7" s="6" t="inlineStr">
        <is>
          <t>n_contenuti_previsti</t>
        </is>
      </c>
      <c r="C7" s="6" t="inlineStr">
        <is>
          <t>int</t>
        </is>
      </c>
      <c r="D7" s="6" t="inlineStr">
        <is>
          <t>Manuale</t>
        </is>
      </c>
      <c r="E7" s="6" t="inlineStr">
        <is>
          <t>Sì</t>
        </is>
      </c>
      <c r="F7" s="6" t="inlineStr">
        <is>
          <t>Es. 10</t>
        </is>
      </c>
    </row>
    <row r="8">
      <c r="A8" s="5" t="inlineStr">
        <is>
          <t>Social</t>
        </is>
      </c>
      <c r="B8" s="5" t="inlineStr">
        <is>
          <t>di_cui_video</t>
        </is>
      </c>
      <c r="C8" s="5" t="inlineStr">
        <is>
          <t>int</t>
        </is>
      </c>
      <c r="D8" s="5" t="inlineStr">
        <is>
          <t>Manuale</t>
        </is>
      </c>
      <c r="E8" s="5" t="inlineStr">
        <is>
          <t>No</t>
        </is>
      </c>
      <c r="F8" s="5" t="inlineStr">
        <is>
          <t>Es. 6. Opzionale</t>
        </is>
      </c>
    </row>
    <row r="9">
      <c r="A9" s="6" t="inlineStr">
        <is>
          <t>Social</t>
        </is>
      </c>
      <c r="B9" s="6" t="inlineStr">
        <is>
          <t>videomaker_id</t>
        </is>
      </c>
      <c r="C9" s="6" t="inlineStr">
        <is>
          <t>FK Risorse</t>
        </is>
      </c>
      <c r="D9" s="6" t="inlineStr">
        <is>
          <t>Risorse tag 'Video'</t>
        </is>
      </c>
      <c r="E9" s="6" t="inlineStr">
        <is>
          <t>No</t>
        </is>
      </c>
      <c r="F9" s="6" t="inlineStr"/>
    </row>
    <row r="10">
      <c r="A10" s="5" t="inlineStr">
        <is>
          <t>Social</t>
        </is>
      </c>
      <c r="B10" s="5" t="inlineStr">
        <is>
          <t>periodicita</t>
        </is>
      </c>
      <c r="C10" s="5" t="inlineStr">
        <is>
          <t>enum</t>
        </is>
      </c>
      <c r="D10" s="5" t="inlineStr">
        <is>
          <t>Mensile (default)</t>
        </is>
      </c>
      <c r="E10" s="5" t="inlineStr">
        <is>
          <t>Sì</t>
        </is>
      </c>
      <c r="F10" s="5" t="inlineStr">
        <is>
          <t>Driver della fatturazione ricorrente</t>
        </is>
      </c>
    </row>
    <row r="11" ht="18" customHeight="1">
      <c r="A11" s="12" t="inlineStr">
        <is>
          <t>SE tipo = Creazione Sito Web</t>
        </is>
      </c>
      <c r="B11" s="17" t="n"/>
      <c r="C11" s="17" t="n"/>
      <c r="D11" s="17" t="n"/>
      <c r="E11" s="17" t="n"/>
      <c r="F11" s="18" t="n"/>
    </row>
    <row r="12">
      <c r="A12" s="5" t="inlineStr">
        <is>
          <t>Sito Web</t>
        </is>
      </c>
      <c r="B12" s="5" t="inlineStr">
        <is>
          <t>web_developer_id</t>
        </is>
      </c>
      <c r="C12" s="5" t="inlineStr">
        <is>
          <t>FK Risorse</t>
        </is>
      </c>
      <c r="D12" s="5" t="inlineStr">
        <is>
          <t>Risorse tag 'Web'</t>
        </is>
      </c>
      <c r="E12" s="5" t="inlineStr">
        <is>
          <t>Sì</t>
        </is>
      </c>
      <c r="F12" s="5" t="inlineStr"/>
    </row>
    <row r="13">
      <c r="A13" s="6" t="inlineStr">
        <is>
          <t>Sito Web</t>
        </is>
      </c>
      <c r="B13" s="6" t="inlineStr">
        <is>
          <t>n_rate</t>
        </is>
      </c>
      <c r="C13" s="6" t="inlineStr">
        <is>
          <t>int</t>
        </is>
      </c>
      <c r="D13" s="6" t="inlineStr">
        <is>
          <t>1..N</t>
        </is>
      </c>
      <c r="E13" s="6" t="inlineStr">
        <is>
          <t>Sì</t>
        </is>
      </c>
      <c r="F13" s="6" t="inlineStr">
        <is>
          <t>Selezionando N si apre lo split in N rate</t>
        </is>
      </c>
    </row>
    <row r="14">
      <c r="A14" s="5" t="inlineStr">
        <is>
          <t>Sito Web</t>
        </is>
      </c>
      <c r="B14" s="5" t="inlineStr">
        <is>
          <t>rate[ ].percentuale</t>
        </is>
      </c>
      <c r="C14" s="5" t="inlineStr">
        <is>
          <t>decimal %</t>
        </is>
      </c>
      <c r="D14" s="5" t="inlineStr">
        <is>
          <t>Manuale</t>
        </is>
      </c>
      <c r="E14" s="5" t="inlineStr">
        <is>
          <t>Sì</t>
        </is>
      </c>
      <c r="F14" s="5" t="inlineStr">
        <is>
          <t>Σ % = 100% (validazione). Es. 50/25/25</t>
        </is>
      </c>
    </row>
    <row r="15">
      <c r="A15" s="6" t="inlineStr">
        <is>
          <t>Sito Web</t>
        </is>
      </c>
      <c r="B15" s="6" t="inlineStr">
        <is>
          <t>rate[ ].milestone</t>
        </is>
      </c>
      <c r="C15" s="6" t="inlineStr">
        <is>
          <t>enum</t>
        </is>
      </c>
      <c r="D15" s="6" t="inlineStr">
        <is>
          <t>Trigger di emissione</t>
        </is>
      </c>
      <c r="E15" s="6" t="inlineStr">
        <is>
          <t>Sì</t>
        </is>
      </c>
      <c r="F15" s="6" t="inlineStr">
        <is>
          <t>Default 3 rate: 1=accordo siglato / 2=approvazione layout / 3=messa online. La milestone scatena la scadenza attiva</t>
        </is>
      </c>
    </row>
    <row r="16" ht="18" customHeight="1">
      <c r="A16" s="12" t="inlineStr">
        <is>
          <t>SE tipo = Gestione Web</t>
        </is>
      </c>
      <c r="B16" s="17" t="n"/>
      <c r="C16" s="17" t="n"/>
      <c r="D16" s="17" t="n"/>
      <c r="E16" s="17" t="n"/>
      <c r="F16" s="18" t="n"/>
    </row>
    <row r="17">
      <c r="A17" s="6" t="inlineStr">
        <is>
          <t>Gestione Web</t>
        </is>
      </c>
      <c r="B17" s="6" t="inlineStr">
        <is>
          <t>periodicita</t>
        </is>
      </c>
      <c r="C17" s="6" t="inlineStr">
        <is>
          <t>enum</t>
        </is>
      </c>
      <c r="D17" s="6" t="inlineStr">
        <is>
          <t>Mensile/bimestrale/trimestrale/semestrale/annuale</t>
        </is>
      </c>
      <c r="E17" s="6" t="inlineStr">
        <is>
          <t>Sì</t>
        </is>
      </c>
      <c r="F17" s="6" t="inlineStr">
        <is>
          <t>Driver fatturazione ricorrente</t>
        </is>
      </c>
    </row>
    <row r="18">
      <c r="A18" s="5" t="inlineStr">
        <is>
          <t>Gestione Web</t>
        </is>
      </c>
      <c r="B18" s="5" t="inlineStr">
        <is>
          <t>web_developer_id</t>
        </is>
      </c>
      <c r="C18" s="5" t="inlineStr">
        <is>
          <t>FK Risorse</t>
        </is>
      </c>
      <c r="D18" s="5" t="inlineStr">
        <is>
          <t>Risorse tag 'Web'</t>
        </is>
      </c>
      <c r="E18" s="5" t="inlineStr">
        <is>
          <t>Sì</t>
        </is>
      </c>
      <c r="F18" s="5" t="inlineStr"/>
    </row>
    <row r="19" ht="18" customHeight="1">
      <c r="A19" s="12" t="inlineStr">
        <is>
          <t>SE tipo = Produzione contenuti</t>
        </is>
      </c>
      <c r="B19" s="17" t="n"/>
      <c r="C19" s="17" t="n"/>
      <c r="D19" s="17" t="n"/>
      <c r="E19" s="17" t="n"/>
      <c r="F19" s="18" t="n"/>
    </row>
    <row r="20">
      <c r="A20" s="5" t="inlineStr">
        <is>
          <t>Produzione</t>
        </is>
      </c>
      <c r="B20" s="5" t="inlineStr">
        <is>
          <t>tipo_contenuto</t>
        </is>
      </c>
      <c r="C20" s="5" t="inlineStr">
        <is>
          <t>enum</t>
        </is>
      </c>
      <c r="D20" s="5" t="inlineStr">
        <is>
          <t>Video / grafiche / foto</t>
        </is>
      </c>
      <c r="E20" s="5" t="inlineStr">
        <is>
          <t>Sì</t>
        </is>
      </c>
      <c r="F20" s="5" t="inlineStr"/>
    </row>
    <row r="21">
      <c r="A21" s="6" t="inlineStr">
        <is>
          <t>Produzione</t>
        </is>
      </c>
      <c r="B21" s="6" t="inlineStr">
        <is>
          <t>operatore_id</t>
        </is>
      </c>
      <c r="C21" s="6" t="inlineStr">
        <is>
          <t>FK Risorse</t>
        </is>
      </c>
      <c r="D21" s="6" t="inlineStr">
        <is>
          <t>Risorse tag 'Produzione contenuti'</t>
        </is>
      </c>
      <c r="E21" s="6" t="inlineStr">
        <is>
          <t>Sì</t>
        </is>
      </c>
      <c r="F21" s="6" t="inlineStr"/>
    </row>
    <row r="22">
      <c r="A22" s="5" t="inlineStr">
        <is>
          <t>Produzione</t>
        </is>
      </c>
      <c r="B22" s="5" t="inlineStr">
        <is>
          <t>periodicita</t>
        </is>
      </c>
      <c r="C22" s="5" t="inlineStr">
        <is>
          <t>enum</t>
        </is>
      </c>
      <c r="D22" s="5" t="inlineStr">
        <is>
          <t>Mensile/Trimestrale/Semestrale/Annuale/Una tantum/Spot</t>
        </is>
      </c>
      <c r="E22" s="5" t="inlineStr">
        <is>
          <t>Sì</t>
        </is>
      </c>
      <c r="F22" s="5" t="inlineStr">
        <is>
          <t>Se Spot/Una tantum → scadenza singola</t>
        </is>
      </c>
    </row>
    <row r="23">
      <c r="A23" s="6" t="inlineStr">
        <is>
          <t>Produzione</t>
        </is>
      </c>
      <c r="B23" s="6" t="inlineStr">
        <is>
          <t>accordo_economico</t>
        </is>
      </c>
      <c r="C23" s="6" t="inlineStr">
        <is>
          <t>decimal €</t>
        </is>
      </c>
      <c r="D23" s="6" t="inlineStr">
        <is>
          <t>Base (foglio 1)</t>
        </is>
      </c>
      <c r="E23" s="6" t="inlineStr">
        <is>
          <t>Sì</t>
        </is>
      </c>
      <c r="F23" s="6" t="inlineStr">
        <is>
          <t>Usa il campo base (confermato: accordo obbligatorio per tutti i tipi)</t>
        </is>
      </c>
    </row>
    <row r="24" ht="18" customHeight="1">
      <c r="A24" s="12" t="inlineStr">
        <is>
          <t>SE tipo = Stand fieristici</t>
        </is>
      </c>
      <c r="B24" s="17" t="n"/>
      <c r="C24" s="17" t="n"/>
      <c r="D24" s="17" t="n"/>
      <c r="E24" s="17" t="n"/>
      <c r="F24" s="18" t="n"/>
    </row>
    <row r="25">
      <c r="A25" s="6" t="inlineStr">
        <is>
          <t>Stand</t>
        </is>
      </c>
      <c r="B25" s="6" t="inlineStr">
        <is>
          <t>fiera</t>
        </is>
      </c>
      <c r="C25" s="6" t="inlineStr">
        <is>
          <t>string</t>
        </is>
      </c>
      <c r="D25" s="6" t="inlineStr">
        <is>
          <t>Manuale</t>
        </is>
      </c>
      <c r="E25" s="6" t="inlineStr">
        <is>
          <t>Sì</t>
        </is>
      </c>
      <c r="F25" s="6" t="inlineStr">
        <is>
          <t>Es. Sigep</t>
        </is>
      </c>
    </row>
    <row r="26">
      <c r="A26" s="5" t="inlineStr">
        <is>
          <t>Stand</t>
        </is>
      </c>
      <c r="B26" s="5" t="inlineStr">
        <is>
          <t>data_consegna</t>
        </is>
      </c>
      <c r="C26" s="5" t="inlineStr">
        <is>
          <t>date</t>
        </is>
      </c>
      <c r="D26" s="5" t="inlineStr">
        <is>
          <t>Manuale</t>
        </is>
      </c>
      <c r="E26" s="5" t="inlineStr">
        <is>
          <t>Sì</t>
        </is>
      </c>
      <c r="F26" s="5" t="inlineStr">
        <is>
          <t>Es. 16/03/2026. Tipico trigger di fatturazione</t>
        </is>
      </c>
    </row>
    <row r="27">
      <c r="A27" s="6" t="inlineStr">
        <is>
          <t>Stand</t>
        </is>
      </c>
      <c r="B27" s="6" t="inlineStr">
        <is>
          <t>partner_id</t>
        </is>
      </c>
      <c r="C27" s="6" t="inlineStr">
        <is>
          <t>FK Fornitori / string</t>
        </is>
      </c>
      <c r="D27" s="6" t="inlineStr">
        <is>
          <t>Manuale</t>
        </is>
      </c>
      <c r="E27" s="6" t="inlineStr">
        <is>
          <t>No</t>
        </is>
      </c>
      <c r="F27" s="6" t="inlineStr">
        <is>
          <t>Es. Roxam S.r.l. — è un fornitore/partner da anagrafare?</t>
        </is>
      </c>
    </row>
    <row r="28">
      <c r="A28" s="5" t="inlineStr">
        <is>
          <t>Stand</t>
        </is>
      </c>
      <c r="B28" s="5" t="inlineStr">
        <is>
          <t>accordo_economico</t>
        </is>
      </c>
      <c r="C28" s="5" t="inlineStr">
        <is>
          <t>decimal €</t>
        </is>
      </c>
      <c r="D28" s="5" t="inlineStr">
        <is>
          <t>Base (foglio 1)</t>
        </is>
      </c>
      <c r="E28" s="5" t="inlineStr">
        <is>
          <t>Sì</t>
        </is>
      </c>
      <c r="F28" s="5" t="inlineStr">
        <is>
          <t>Usa il campo base (confermato: accordo obbligatorio per tutti i tipi)</t>
        </is>
      </c>
    </row>
    <row r="30">
      <c r="A30" s="3" t="inlineStr">
        <is>
          <t>B) MODELLO DI FATTURAZIONE PER TIPO (come il progetto genera scadenze attive)</t>
        </is>
      </c>
    </row>
    <row r="31">
      <c r="A31" s="4" t="inlineStr">
        <is>
          <t>Tipo</t>
        </is>
      </c>
      <c r="B31" s="4" t="inlineStr">
        <is>
          <t>Modello</t>
        </is>
      </c>
      <c r="C31" s="4" t="inlineStr">
        <is>
          <t>Genera (in 'scadenze' attive)</t>
        </is>
      </c>
      <c r="D31" s="4" t="inlineStr">
        <is>
          <t>Trigger / nota</t>
        </is>
      </c>
    </row>
    <row r="32">
      <c r="A32" s="5" t="inlineStr">
        <is>
          <t>Social Media</t>
        </is>
      </c>
      <c r="B32" s="5" t="inlineStr">
        <is>
          <t>Ricorrente</t>
        </is>
      </c>
      <c r="C32" s="5" t="inlineStr">
        <is>
          <t>1 scadenza per periodo (accordo × periodicità)</t>
        </is>
      </c>
      <c r="D32" s="5" t="inlineStr">
        <is>
          <t>Genera ricorrenza (foglio 2, tab. C)</t>
        </is>
      </c>
    </row>
    <row r="33">
      <c r="A33" s="6" t="inlineStr">
        <is>
          <t>Creazione Sito Web</t>
        </is>
      </c>
      <c r="B33" s="6" t="inlineStr">
        <is>
          <t>A rate / milestone</t>
        </is>
      </c>
      <c r="C33" s="6" t="inlineStr">
        <is>
          <t>N scadenze = n_rate, importo = accordo × % rata</t>
        </is>
      </c>
      <c r="D33" s="6" t="inlineStr">
        <is>
          <t>Trigger a milestone: 1=accordo siglato, 2=approvazione layout, 3=messa online | CE/competenza: quota LINEARE accordo ÷ mesi durata (cassa a milestone, doppia data)</t>
        </is>
      </c>
    </row>
    <row r="34">
      <c r="A34" s="5" t="inlineStr">
        <is>
          <t>Gestione Web</t>
        </is>
      </c>
      <c r="B34" s="5" t="inlineStr">
        <is>
          <t>Ricorrente</t>
        </is>
      </c>
      <c r="C34" s="5" t="inlineStr">
        <is>
          <t>1 scadenza per periodo (accordo × periodicità)</t>
        </is>
      </c>
      <c r="D34" s="5" t="inlineStr">
        <is>
          <t>Genera ricorrenza</t>
        </is>
      </c>
    </row>
    <row r="35">
      <c r="A35" s="6" t="inlineStr">
        <is>
          <t>Produzione contenuti</t>
        </is>
      </c>
      <c r="B35" s="6" t="inlineStr">
        <is>
          <t>Ricorrente o una tantum</t>
        </is>
      </c>
      <c r="C35" s="6" t="inlineStr">
        <is>
          <t>Ricorrente se periodicità; singola se Spot/Una tantum</t>
        </is>
      </c>
      <c r="D35" s="6" t="inlineStr">
        <is>
          <t>Periodicità decide il pattern</t>
        </is>
      </c>
    </row>
    <row r="36">
      <c r="A36" s="5" t="inlineStr">
        <is>
          <t>Stand fieristici</t>
        </is>
      </c>
      <c r="B36" s="5" t="inlineStr">
        <is>
          <t>Una tantum</t>
        </is>
      </c>
      <c r="C36" s="5" t="inlineStr">
        <is>
          <t>1 scadenza singola</t>
        </is>
      </c>
      <c r="D36" s="5" t="inlineStr">
        <is>
          <t>Tipicamente a data_consegna</t>
        </is>
      </c>
    </row>
    <row r="38">
      <c r="A38" s="25" t="inlineStr">
        <is>
          <t>C) CAMPO BASE PER IL RIPARTO SOCIO (§4.6)</t>
        </is>
      </c>
    </row>
    <row r="39">
      <c r="A39" s="25" t="inlineStr">
        <is>
          <t>Tutti i tipi</t>
        </is>
      </c>
      <c r="B39" t="inlineStr">
        <is>
          <t>intensita_socio</t>
        </is>
      </c>
      <c r="C39" t="inlineStr">
        <is>
          <t>enum</t>
        </is>
      </c>
      <c r="D39" t="inlineStr">
        <is>
          <t>S / M / L (default M)</t>
        </is>
      </c>
      <c r="E39" t="inlineStr">
        <is>
          <t>No</t>
        </is>
      </c>
      <c r="F39" t="inlineStr">
        <is>
          <t>Peso strutturale di intensità del progetto: chiave di riparto della quota progettuale soci quando manca il dato da preventivo. Editabile. Rapporto 1:2:4 (≈4/8/16 h-socio/mese), default M</t>
        </is>
      </c>
    </row>
  </sheetData>
  <mergeCells count="7">
    <mergeCell ref="A24:F24"/>
    <mergeCell ref="A16:F16"/>
    <mergeCell ref="A11:F11"/>
    <mergeCell ref="A2:F2"/>
    <mergeCell ref="A19:F19"/>
    <mergeCell ref="A1:F1"/>
    <mergeCell ref="A6:F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6" customWidth="1" min="4" max="4"/>
    <col width="44" customWidth="1" min="5" max="5"/>
    <col width="40" customWidth="1" min="6" max="6"/>
  </cols>
  <sheetData>
    <row r="1" ht="26" customHeight="1">
      <c r="A1" s="1" t="inlineStr">
        <is>
          <t>Vista dettaglio — Pagina Progetto</t>
        </is>
      </c>
    </row>
    <row r="2" ht="28" customHeight="1">
      <c r="A2" s="2" t="inlineStr">
        <is>
          <t>3 sezioni: Panoramica · Gantt/Timeline · Chat. Gantt e CE si agganciano alla sezione gestionale del progetto.</t>
        </is>
      </c>
    </row>
    <row r="4">
      <c r="A4" s="4" t="inlineStr">
        <is>
          <t>Sezione</t>
        </is>
      </c>
      <c r="B4" s="4" t="inlineStr">
        <is>
          <t>Elemento</t>
        </is>
      </c>
      <c r="C4" s="4" t="inlineStr">
        <is>
          <t>Tipo</t>
        </is>
      </c>
      <c r="D4" s="4" t="inlineStr">
        <is>
          <t>Fonte / Deriv.</t>
        </is>
      </c>
      <c r="E4" s="4" t="inlineStr">
        <is>
          <t>Logica / contenuto</t>
        </is>
      </c>
      <c r="F4" s="4" t="inlineStr">
        <is>
          <t>Note &amp; decisioni</t>
        </is>
      </c>
    </row>
    <row r="5" ht="18" customHeight="1">
      <c r="A5" s="12" t="inlineStr">
        <is>
          <t>SEZIONE 1 — PANORAMICA</t>
        </is>
      </c>
      <c r="B5" s="17" t="n"/>
      <c r="C5" s="17" t="n"/>
      <c r="D5" s="17" t="n"/>
      <c r="E5" s="17" t="n"/>
      <c r="F5" s="18" t="n"/>
    </row>
    <row r="6">
      <c r="A6" s="5" t="inlineStr">
        <is>
          <t>Panoramica</t>
        </is>
      </c>
      <c r="B6" s="5" t="inlineStr">
        <is>
          <t>Valore progetto</t>
        </is>
      </c>
      <c r="C6" s="5" t="inlineStr">
        <is>
          <t>KPI €</t>
        </is>
      </c>
      <c r="D6" s="13" t="inlineStr">
        <is>
          <t>ERP</t>
        </is>
      </c>
      <c r="E6" s="5">
        <f> accordo_economico (foglio 1)</f>
        <v/>
      </c>
      <c r="F6" s="5" t="inlineStr">
        <is>
          <t>Ricavo del progetto</t>
        </is>
      </c>
    </row>
    <row r="7">
      <c r="A7" s="6" t="inlineStr">
        <is>
          <t>Panoramica</t>
        </is>
      </c>
      <c r="B7" s="6" t="inlineStr">
        <is>
          <t>Data inizio</t>
        </is>
      </c>
      <c r="C7" s="6" t="inlineStr">
        <is>
          <t>Campo</t>
        </is>
      </c>
      <c r="D7" s="13" t="inlineStr">
        <is>
          <t>ERP</t>
        </is>
      </c>
      <c r="E7" s="6">
        <f> data_inizio</f>
        <v/>
      </c>
      <c r="F7" s="6" t="inlineStr"/>
    </row>
    <row r="8">
      <c r="A8" s="5" t="inlineStr">
        <is>
          <t>Panoramica</t>
        </is>
      </c>
      <c r="B8" s="5" t="inlineStr">
        <is>
          <t>Team associato</t>
        </is>
      </c>
      <c r="C8" s="5" t="inlineStr">
        <is>
          <t>Relazione + azione</t>
        </is>
      </c>
      <c r="D8" s="13" t="inlineStr">
        <is>
          <t>ERP</t>
        </is>
      </c>
      <c r="E8" s="5" t="inlineStr">
        <is>
          <t>Risorse assegnate con ruolo; assegnazione/rimozione inline</t>
        </is>
      </c>
      <c r="F8" s="5" t="inlineStr">
        <is>
          <t>Da risorse_assegnate[] (foglio 1)</t>
        </is>
      </c>
    </row>
    <row r="9">
      <c r="A9" s="6" t="inlineStr">
        <is>
          <t>Panoramica</t>
        </is>
      </c>
      <c r="B9" s="6" t="inlineStr">
        <is>
          <t>Commesse correlate</t>
        </is>
      </c>
      <c r="C9" s="6" t="inlineStr">
        <is>
          <t>Lista cliccabile</t>
        </is>
      </c>
      <c r="D9" s="13" t="inlineStr">
        <is>
          <t>ERP</t>
        </is>
      </c>
      <c r="E9" s="6" t="inlineStr">
        <is>
          <t>Commesse che includono il progetto (vista inversa N:N, tab. progetto_commessa)</t>
        </is>
      </c>
      <c r="F9" s="6" t="inlineStr">
        <is>
          <t>Link → pagina commessa</t>
        </is>
      </c>
    </row>
    <row r="10" ht="18" customHeight="1">
      <c r="A10" s="12" t="inlineStr">
        <is>
          <t>SEZIONE 1b — SMM (solo se tipo = Social Media)</t>
        </is>
      </c>
      <c r="B10" s="17" t="n"/>
      <c r="C10" s="17" t="n"/>
      <c r="D10" s="17" t="n"/>
      <c r="E10" s="17" t="n"/>
      <c r="F10" s="18" t="n"/>
    </row>
    <row r="11">
      <c r="A11" s="6" t="inlineStr">
        <is>
          <t>Panoramica</t>
        </is>
      </c>
      <c r="B11" s="6" t="inlineStr">
        <is>
          <t>n_contenuti_attesi</t>
        </is>
      </c>
      <c r="C11" s="6" t="inlineStr">
        <is>
          <t>int</t>
        </is>
      </c>
      <c r="D11" s="13" t="inlineStr">
        <is>
          <t>ERP</t>
        </is>
      </c>
      <c r="E11" s="6" t="inlineStr">
        <is>
          <t>Da campo condizionale (foglio 6)</t>
        </is>
      </c>
      <c r="F11" s="6" t="inlineStr"/>
    </row>
    <row r="12">
      <c r="A12" s="5" t="inlineStr">
        <is>
          <t>Panoramica</t>
        </is>
      </c>
      <c r="B12" s="5" t="inlineStr">
        <is>
          <t>di cui video</t>
        </is>
      </c>
      <c r="C12" s="5" t="inlineStr">
        <is>
          <t>int</t>
        </is>
      </c>
      <c r="D12" s="13" t="inlineStr">
        <is>
          <t>ERP</t>
        </is>
      </c>
      <c r="E12" s="5" t="inlineStr">
        <is>
          <t>Da campo condizionale (foglio 6)</t>
        </is>
      </c>
      <c r="F12" s="5" t="inlineStr">
        <is>
          <t>Opzionale</t>
        </is>
      </c>
    </row>
    <row r="13" ht="18" customHeight="1">
      <c r="A13" s="12" t="inlineStr">
        <is>
          <t>SEZIONE 1c — CONTO ECONOMICO DI PROGETTO</t>
        </is>
      </c>
      <c r="B13" s="17" t="n"/>
      <c r="C13" s="17" t="n"/>
      <c r="D13" s="17" t="n"/>
      <c r="E13" s="17" t="n"/>
      <c r="F13" s="18" t="n"/>
    </row>
    <row r="14">
      <c r="A14" s="5" t="inlineStr">
        <is>
          <t>Panoramica</t>
        </is>
      </c>
      <c r="B14" s="5" t="inlineStr">
        <is>
          <t>Conto economico di progetto</t>
        </is>
      </c>
      <c r="C14" s="5" t="inlineStr">
        <is>
          <t>Vista / blocco</t>
        </is>
      </c>
      <c r="D14" s="15" t="inlineStr">
        <is>
          <t>CALCOLATO</t>
        </is>
      </c>
      <c r="E14" s="5" t="inlineStr">
        <is>
          <t>Ricavi (accordo) − costi diretti (M.O. da timesheet + costi diretti + fatture collaboratori) = margine progetto</t>
        </is>
      </c>
      <c r="F14" s="5" t="inlineStr">
        <is>
          <t>Stesso motore della marginalità (principio 4). Roll-up: progetto → commessa → CE gestionale</t>
        </is>
      </c>
    </row>
    <row r="15" ht="18" customHeight="1">
      <c r="A15" s="12" t="inlineStr">
        <is>
          <t>SEZIONE 2 — GANTT / TIMELINE</t>
        </is>
      </c>
      <c r="B15" s="17" t="n"/>
      <c r="C15" s="17" t="n"/>
      <c r="D15" s="17" t="n"/>
      <c r="E15" s="17" t="n"/>
      <c r="F15" s="18" t="n"/>
    </row>
    <row r="16">
      <c r="A16" s="5" t="inlineStr">
        <is>
          <t>Gantt</t>
        </is>
      </c>
      <c r="B16" s="5" t="inlineStr">
        <is>
          <t>Timeline del progetto</t>
        </is>
      </c>
      <c r="C16" s="5" t="inlineStr">
        <is>
          <t>Vista gestionale</t>
        </is>
      </c>
      <c r="D16" s="13" t="inlineStr">
        <is>
          <t>ERP gestionale</t>
        </is>
      </c>
      <c r="E16" s="5" t="inlineStr">
        <is>
          <t>Milestone, scadenze, consegne e uscite ricorrenti su timeline</t>
        </is>
      </c>
      <c r="F16" s="5" t="inlineStr">
        <is>
          <t>Agganciata alla sezione gestionale: milestone Sito (accordo/layout/online) e scadenze del modello di fatturazione (foglio 6) compaiono qui</t>
        </is>
      </c>
    </row>
    <row r="17" ht="18" customHeight="1">
      <c r="A17" s="12" t="inlineStr">
        <is>
          <t>SEZIONE 3 — CHAT PROGETTO</t>
        </is>
      </c>
      <c r="B17" s="17" t="n"/>
      <c r="C17" s="17" t="n"/>
      <c r="D17" s="17" t="n"/>
      <c r="E17" s="17" t="n"/>
      <c r="F17" s="18" t="n"/>
    </row>
    <row r="18">
      <c r="A18" s="5" t="inlineStr">
        <is>
          <t>Chat</t>
        </is>
      </c>
      <c r="B18" s="5" t="inlineStr">
        <is>
          <t>Thread di progetto</t>
        </is>
      </c>
      <c r="C18" s="5" t="inlineStr">
        <is>
          <t>Modulo comunicazione</t>
        </is>
      </c>
      <c r="D18" s="13" t="inlineStr">
        <is>
          <t>ERP</t>
        </is>
      </c>
      <c r="E18" s="5" t="inlineStr">
        <is>
          <t>Comunicazione interna legata al progetto</t>
        </is>
      </c>
      <c r="F18" s="5" t="inlineStr">
        <is>
          <t>DECISIONE scope: solo interna? notifiche? allegati? Valutare integrazione vs ClickUp per non duplicare</t>
        </is>
      </c>
    </row>
  </sheetData>
  <mergeCells count="7">
    <mergeCell ref="A2:F2"/>
    <mergeCell ref="A10:F10"/>
    <mergeCell ref="A13:F13"/>
    <mergeCell ref="A1:F1"/>
    <mergeCell ref="A5:F5"/>
    <mergeCell ref="A17:F17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4" customWidth="1" min="4" max="4"/>
    <col width="7" customWidth="1" min="5" max="5"/>
    <col width="42" customWidth="1" min="6" max="6"/>
  </cols>
  <sheetData>
    <row r="1" ht="26" customHeight="1">
      <c r="A1" s="1" t="inlineStr">
        <is>
          <t>Risorse — campi condizionali per 'tipologia'</t>
        </is>
      </c>
    </row>
    <row r="2" ht="28" customHeight="1">
      <c r="A2" s="2" t="inlineStr">
        <is>
          <t>Il campo 'tipologia' (foglio 1) pilota questi campi. Due sotto-tabelle: compensi collaboratore e ripartizione soci.</t>
        </is>
      </c>
    </row>
    <row r="4">
      <c r="A4" s="4" t="inlineStr">
        <is>
          <t>Tipologia (SE)</t>
        </is>
      </c>
      <c r="B4" s="4" t="inlineStr">
        <is>
          <t>Campo</t>
        </is>
      </c>
      <c r="C4" s="4" t="inlineStr">
        <is>
          <t>Tipo dato</t>
        </is>
      </c>
      <c r="D4" s="4" t="inlineStr">
        <is>
          <t>Valori / picker</t>
        </is>
      </c>
      <c r="E4" s="4" t="inlineStr">
        <is>
          <t>Obbl.</t>
        </is>
      </c>
      <c r="F4" s="4" t="inlineStr">
        <is>
          <t>Note</t>
        </is>
      </c>
    </row>
    <row r="5" ht="18" customHeight="1">
      <c r="A5" s="12" t="inlineStr">
        <is>
          <t>SE tipologia = Dipendente</t>
        </is>
      </c>
      <c r="B5" s="17" t="n"/>
      <c r="C5" s="17" t="n"/>
      <c r="D5" s="17" t="n"/>
      <c r="E5" s="17" t="n"/>
      <c r="F5" s="18" t="n"/>
    </row>
    <row r="6">
      <c r="A6" s="5" t="inlineStr">
        <is>
          <t>Dipendente</t>
        </is>
      </c>
      <c r="B6" s="5" t="inlineStr">
        <is>
          <t>data_assunzione</t>
        </is>
      </c>
      <c r="C6" s="5" t="inlineStr">
        <is>
          <t>date</t>
        </is>
      </c>
      <c r="D6" s="5" t="inlineStr">
        <is>
          <t>Manuale</t>
        </is>
      </c>
      <c r="E6" s="5" t="inlineStr">
        <is>
          <t>Sì</t>
        </is>
      </c>
      <c r="F6" s="5" t="inlineStr">
        <is>
          <t>Es. 01/06/2025</t>
        </is>
      </c>
    </row>
    <row r="7">
      <c r="A7" s="6" t="inlineStr">
        <is>
          <t>Dipendente</t>
        </is>
      </c>
      <c r="B7" s="6" t="inlineStr">
        <is>
          <t>tipo_contratto</t>
        </is>
      </c>
      <c r="C7" s="6" t="inlineStr">
        <is>
          <t>enum</t>
        </is>
      </c>
      <c r="D7" s="6" t="inlineStr">
        <is>
          <t>Indeterminato/Determinato/Apprendistato/Part-time/Stage</t>
        </is>
      </c>
      <c r="E7" s="6" t="inlineStr">
        <is>
          <t>Sì</t>
        </is>
      </c>
      <c r="F7" s="6" t="inlineStr">
        <is>
          <t>Es. Apprendistato</t>
        </is>
      </c>
    </row>
    <row r="8">
      <c r="A8" s="5" t="inlineStr">
        <is>
          <t>Dipendente</t>
        </is>
      </c>
      <c r="B8" s="5" t="inlineStr">
        <is>
          <t>livello_contrattuale</t>
        </is>
      </c>
      <c r="C8" s="5" t="inlineStr">
        <is>
          <t>enum</t>
        </is>
      </c>
      <c r="D8" s="5" t="inlineStr">
        <is>
          <t>7°/6°/5°/4°/3°/2°/1°/Quadri</t>
        </is>
      </c>
      <c r="E8" s="5" t="inlineStr">
        <is>
          <t>Sì</t>
        </is>
      </c>
      <c r="F8" s="5" t="inlineStr">
        <is>
          <t>Es. 4° livello</t>
        </is>
      </c>
    </row>
    <row r="9">
      <c r="A9" s="6" t="inlineStr">
        <is>
          <t>Dipendente</t>
        </is>
      </c>
      <c r="B9" s="6" t="inlineStr">
        <is>
          <t>data_fine_contratto</t>
        </is>
      </c>
      <c r="C9" s="6" t="inlineStr">
        <is>
          <t>date</t>
        </is>
      </c>
      <c r="D9" s="6" t="inlineStr">
        <is>
          <t>Manuale</t>
        </is>
      </c>
      <c r="E9" s="6" t="inlineStr">
        <is>
          <t>No</t>
        </is>
      </c>
      <c r="F9" s="6" t="inlineStr">
        <is>
          <t>Se a termine. Es. 31/08/2028</t>
        </is>
      </c>
    </row>
    <row r="10">
      <c r="A10" s="5" t="inlineStr">
        <is>
          <t>Dipendente</t>
        </is>
      </c>
      <c r="B10" s="5" t="inlineStr">
        <is>
          <t>ral</t>
        </is>
      </c>
      <c r="C10" s="5" t="inlineStr">
        <is>
          <t>decimal €</t>
        </is>
      </c>
      <c r="D10" s="5" t="inlineStr">
        <is>
          <t>Manuale</t>
        </is>
      </c>
      <c r="E10" s="5" t="inlineStr">
        <is>
          <t>Sì</t>
        </is>
      </c>
      <c r="F10" s="5" t="inlineStr">
        <is>
          <t>Es. 22.500</t>
        </is>
      </c>
    </row>
    <row r="11">
      <c r="A11" s="6" t="inlineStr">
        <is>
          <t>Dipendente</t>
        </is>
      </c>
      <c r="B11" s="6" t="inlineStr">
        <is>
          <t>costo_aziendale_annuo</t>
        </is>
      </c>
      <c r="C11" s="6" t="inlineStr">
        <is>
          <t>decimal €</t>
        </is>
      </c>
      <c r="D11" s="6" t="inlineStr">
        <is>
          <t>Manuale</t>
        </is>
      </c>
      <c r="E11" s="6" t="inlineStr">
        <is>
          <t>Sì</t>
        </is>
      </c>
      <c r="F11" s="6" t="inlineStr">
        <is>
          <t>Es. 28.000. È QUESTO (non la RAL) la base del costo orario per la marginalità</t>
        </is>
      </c>
    </row>
    <row r="12">
      <c r="A12" s="5" t="inlineStr">
        <is>
          <t>Dipendente</t>
        </is>
      </c>
      <c r="B12" s="5" t="inlineStr">
        <is>
          <t>ore_settimanali</t>
        </is>
      </c>
      <c r="C12" s="5" t="inlineStr">
        <is>
          <t>int</t>
        </is>
      </c>
      <c r="D12" s="5" t="inlineStr">
        <is>
          <t>Manuale</t>
        </is>
      </c>
      <c r="E12" s="5" t="inlineStr">
        <is>
          <t>Sì</t>
        </is>
      </c>
      <c r="F12" s="5" t="inlineStr">
        <is>
          <t>Es. 40</t>
        </is>
      </c>
    </row>
    <row r="13">
      <c r="A13" s="6" t="inlineStr">
        <is>
          <t>Dipendente</t>
        </is>
      </c>
      <c r="B13" s="6" t="inlineStr">
        <is>
          <t>giorni_ferie_annui</t>
        </is>
      </c>
      <c r="C13" s="6" t="inlineStr">
        <is>
          <t>decimal</t>
        </is>
      </c>
      <c r="D13" s="6" t="inlineStr">
        <is>
          <t>Maturazione contrattuale</t>
        </is>
      </c>
      <c r="E13" s="6" t="inlineStr">
        <is>
          <t>No</t>
        </is>
      </c>
      <c r="F13" s="6" t="inlineStr">
        <is>
          <t>Sottratti per le ore nette annue (capacità)</t>
        </is>
      </c>
    </row>
    <row r="14">
      <c r="A14" s="5" t="inlineStr">
        <is>
          <t>Dipendente</t>
        </is>
      </c>
      <c r="B14" s="5" t="inlineStr">
        <is>
          <t>ore_rol_annue</t>
        </is>
      </c>
      <c r="C14" s="5" t="inlineStr">
        <is>
          <t>decimal</t>
        </is>
      </c>
      <c r="D14" s="5" t="inlineStr">
        <is>
          <t>Maturazione contrattuale</t>
        </is>
      </c>
      <c r="E14" s="5" t="inlineStr">
        <is>
          <t>No</t>
        </is>
      </c>
      <c r="F14" s="5" t="inlineStr">
        <is>
          <t>ROL/permessi maturati, sottratti per le ore nette</t>
        </is>
      </c>
    </row>
    <row r="15">
      <c r="A15" s="6" t="inlineStr">
        <is>
          <t>Dipendente</t>
        </is>
      </c>
      <c r="B15" s="6" t="inlineStr">
        <is>
          <t>(costo orario)</t>
        </is>
      </c>
      <c r="C15" s="6" t="inlineStr">
        <is>
          <t>CALCOLATO</t>
        </is>
      </c>
      <c r="D15" s="6" t="inlineStr">
        <is>
          <t>Formula</t>
        </is>
      </c>
      <c r="E15" s="6" t="inlineStr">
        <is>
          <t>—</t>
        </is>
      </c>
      <c r="F15" s="6" t="inlineStr">
        <is>
          <t>costo_aziendale_annuo ÷ ore nette = (settimane×ore − ferie − ROL − festività). Le assenze EXTRA non cambiano la tariffa: restano sotto-assorbimento di struttura</t>
        </is>
      </c>
    </row>
    <row r="16" ht="18" customHeight="1">
      <c r="A16" s="12" t="inlineStr">
        <is>
          <t>SE tipologia = Collaboratore</t>
        </is>
      </c>
      <c r="B16" s="17" t="n"/>
      <c r="C16" s="17" t="n"/>
      <c r="D16" s="17" t="n"/>
      <c r="E16" s="17" t="n"/>
      <c r="F16" s="18" t="n"/>
    </row>
    <row r="17">
      <c r="A17" s="6" t="inlineStr">
        <is>
          <t>Collaboratore</t>
        </is>
      </c>
      <c r="B17" s="6" t="inlineStr">
        <is>
          <t>partita_iva</t>
        </is>
      </c>
      <c r="C17" s="6" t="inlineStr">
        <is>
          <t>string</t>
        </is>
      </c>
      <c r="D17" s="6" t="inlineStr">
        <is>
          <t>Manuale</t>
        </is>
      </c>
      <c r="E17" s="6" t="inlineStr">
        <is>
          <t>Sì</t>
        </is>
      </c>
      <c r="F17" s="6" t="inlineStr">
        <is>
          <t>Es. 4589867575</t>
        </is>
      </c>
    </row>
    <row r="18">
      <c r="A18" s="5" t="inlineStr">
        <is>
          <t>Collaboratore</t>
        </is>
      </c>
      <c r="B18" s="5" t="inlineStr">
        <is>
          <t>cf</t>
        </is>
      </c>
      <c r="C18" s="5" t="inlineStr">
        <is>
          <t>string</t>
        </is>
      </c>
      <c r="D18" s="5" t="inlineStr">
        <is>
          <t>Manuale</t>
        </is>
      </c>
      <c r="E18" s="5" t="inlineStr">
        <is>
          <t>No</t>
        </is>
      </c>
      <c r="F18" s="5" t="inlineStr">
        <is>
          <t>Es. MROLSN00C16F463B</t>
        </is>
      </c>
    </row>
    <row r="19">
      <c r="A19" s="6" t="inlineStr">
        <is>
          <t>Collaboratore</t>
        </is>
      </c>
      <c r="B19" s="6" t="inlineStr">
        <is>
          <t>data_inizio</t>
        </is>
      </c>
      <c r="C19" s="6" t="inlineStr">
        <is>
          <t>date</t>
        </is>
      </c>
      <c r="D19" s="6" t="inlineStr">
        <is>
          <t>Manuale</t>
        </is>
      </c>
      <c r="E19" s="6" t="inlineStr">
        <is>
          <t>Sì</t>
        </is>
      </c>
      <c r="F19" s="6" t="inlineStr">
        <is>
          <t>Es. 01/01/2025</t>
        </is>
      </c>
    </row>
    <row r="20">
      <c r="A20" s="5" t="inlineStr">
        <is>
          <t>Collaboratore</t>
        </is>
      </c>
      <c r="B20" s="5" t="inlineStr">
        <is>
          <t>compensi[ ]</t>
        </is>
      </c>
      <c r="C20" s="5" t="inlineStr">
        <is>
          <t>sotto-tabella 1:N</t>
        </is>
      </c>
      <c r="D20" s="5" t="inlineStr">
        <is>
          <t>Vedi sotto</t>
        </is>
      </c>
      <c r="E20" s="5" t="inlineStr">
        <is>
          <t>Sì</t>
        </is>
      </c>
      <c r="F20" s="5" t="inlineStr">
        <is>
          <t>Più compensi per collaboratore (es. 1 per progetti + 1 per ottimizzazione processi)</t>
        </is>
      </c>
    </row>
    <row r="21">
      <c r="A21" s="6" t="inlineStr">
        <is>
          <t>Collaboratore</t>
        </is>
      </c>
      <c r="B21" s="6" t="inlineStr">
        <is>
          <t>→ link Fornitore</t>
        </is>
      </c>
      <c r="C21" s="6" t="inlineStr">
        <is>
          <t>FK</t>
        </is>
      </c>
      <c r="D21" s="6" t="inlineStr">
        <is>
          <t>Fornitori</t>
        </is>
      </c>
      <c r="E21" s="6" t="inlineStr">
        <is>
          <t>No</t>
        </is>
      </c>
      <c r="F21" s="6" t="inlineStr">
        <is>
          <t>Se fattura: è anche Fornitore (is_collaboratore/risorsa_id). Compensi = base attesa; costo REALE = fattura (principio 9)</t>
        </is>
      </c>
    </row>
    <row r="22" ht="18" customHeight="1">
      <c r="A22" s="12" t="inlineStr">
        <is>
          <t>SOTTO-TABELLA — compensi collaboratore (1:N)</t>
        </is>
      </c>
      <c r="B22" s="17" t="n"/>
      <c r="C22" s="17" t="n"/>
      <c r="D22" s="17" t="n"/>
      <c r="E22" s="17" t="n"/>
      <c r="F22" s="18" t="n"/>
    </row>
    <row r="23">
      <c r="A23" s="6" t="inlineStr">
        <is>
          <t>compenso</t>
        </is>
      </c>
      <c r="B23" s="6" t="inlineStr">
        <is>
          <t>tipo</t>
        </is>
      </c>
      <c r="C23" s="6" t="inlineStr">
        <is>
          <t>enum</t>
        </is>
      </c>
      <c r="D23" s="6" t="inlineStr">
        <is>
          <t>Forfait mensile/Orario/Progetto/Attività/Variabile</t>
        </is>
      </c>
      <c r="E23" s="6" t="inlineStr">
        <is>
          <t>Sì</t>
        </is>
      </c>
      <c r="F23" s="6" t="inlineStr">
        <is>
          <t>'Variabile' = definire regola di calcolo</t>
        </is>
      </c>
    </row>
    <row r="24">
      <c r="A24" s="5" t="inlineStr">
        <is>
          <t>compenso</t>
        </is>
      </c>
      <c r="B24" s="5" t="inlineStr">
        <is>
          <t>attivita</t>
        </is>
      </c>
      <c r="C24" s="5" t="inlineStr">
        <is>
          <t>string/enum</t>
        </is>
      </c>
      <c r="D24" s="5" t="inlineStr">
        <is>
          <t>Es. Project Management</t>
        </is>
      </c>
      <c r="E24" s="5" t="inlineStr">
        <is>
          <t>Sì</t>
        </is>
      </c>
      <c r="F24" s="5" t="inlineStr">
        <is>
          <t>Cosa remunera questo compenso</t>
        </is>
      </c>
    </row>
    <row r="25">
      <c r="A25" s="6" t="inlineStr">
        <is>
          <t>compenso</t>
        </is>
      </c>
      <c r="B25" s="6" t="inlineStr">
        <is>
          <t>importo</t>
        </is>
      </c>
      <c r="C25" s="6" t="inlineStr">
        <is>
          <t>decimal €</t>
        </is>
      </c>
      <c r="D25" s="6" t="inlineStr">
        <is>
          <t>Manuale</t>
        </is>
      </c>
      <c r="E25" s="6" t="inlineStr">
        <is>
          <t>Sì</t>
        </is>
      </c>
      <c r="F25" s="6" t="inlineStr">
        <is>
          <t>Es. 100</t>
        </is>
      </c>
    </row>
    <row r="26">
      <c r="A26" s="5" t="inlineStr">
        <is>
          <t>compenso</t>
        </is>
      </c>
      <c r="B26" s="5" t="inlineStr">
        <is>
          <t>quantita</t>
        </is>
      </c>
      <c r="C26" s="5" t="inlineStr">
        <is>
          <t>decimal</t>
        </is>
      </c>
      <c r="D26" s="5" t="inlineStr">
        <is>
          <t>Manuale</t>
        </is>
      </c>
      <c r="E26" s="5" t="inlineStr">
        <is>
          <t>No</t>
        </is>
      </c>
      <c r="F26" s="5" t="inlineStr">
        <is>
          <t>Es. 6</t>
        </is>
      </c>
    </row>
    <row r="27">
      <c r="A27" s="6" t="inlineStr">
        <is>
          <t>compenso</t>
        </is>
      </c>
      <c r="B27" s="6" t="inlineStr">
        <is>
          <t>frequenza</t>
        </is>
      </c>
      <c r="C27" s="6" t="inlineStr">
        <is>
          <t>enum</t>
        </is>
      </c>
      <c r="D27" s="6" t="inlineStr">
        <is>
          <t>Mensile/Una tantum/Annuale/Bimestrale...</t>
        </is>
      </c>
      <c r="E27" s="6" t="inlineStr">
        <is>
          <t>Sì</t>
        </is>
      </c>
      <c r="F27" s="6" t="inlineStr">
        <is>
          <t>Es. Mensile</t>
        </is>
      </c>
    </row>
    <row r="28" ht="18" customHeight="1">
      <c r="A28" s="12" t="inlineStr">
        <is>
          <t>SE tipologia = Socio</t>
        </is>
      </c>
      <c r="B28" s="17" t="n"/>
      <c r="C28" s="17" t="n"/>
      <c r="D28" s="17" t="n"/>
      <c r="E28" s="17" t="n"/>
      <c r="F28" s="18" t="n"/>
    </row>
    <row r="29">
      <c r="A29" s="6" t="inlineStr">
        <is>
          <t>Socio</t>
        </is>
      </c>
      <c r="B29" s="6" t="inlineStr">
        <is>
          <t>tipologia_socio</t>
        </is>
      </c>
      <c r="C29" s="6" t="inlineStr">
        <is>
          <t>enum</t>
        </is>
      </c>
      <c r="D29" s="6" t="inlineStr">
        <is>
          <t>Accomandante / Accomandatario</t>
        </is>
      </c>
      <c r="E29" s="6" t="inlineStr">
        <is>
          <t>Sì</t>
        </is>
      </c>
      <c r="F29" s="6" t="inlineStr"/>
    </row>
    <row r="30">
      <c r="A30" s="5" t="inlineStr">
        <is>
          <t>Socio</t>
        </is>
      </c>
      <c r="B30" s="5" t="inlineStr">
        <is>
          <t>data_ingresso</t>
        </is>
      </c>
      <c r="C30" s="5" t="inlineStr">
        <is>
          <t>date</t>
        </is>
      </c>
      <c r="D30" s="5" t="inlineStr">
        <is>
          <t>Manuale</t>
        </is>
      </c>
      <c r="E30" s="5" t="inlineStr">
        <is>
          <t>No</t>
        </is>
      </c>
      <c r="F30" s="5" t="inlineStr">
        <is>
          <t>Ingresso in società</t>
        </is>
      </c>
    </row>
    <row r="31">
      <c r="A31" s="6" t="inlineStr">
        <is>
          <t>Socio</t>
        </is>
      </c>
      <c r="B31" s="6" t="inlineStr">
        <is>
          <t>quota_pct</t>
        </is>
      </c>
      <c r="C31" s="6" t="inlineStr">
        <is>
          <t>decimal %</t>
        </is>
      </c>
      <c r="D31" s="6" t="inlineStr">
        <is>
          <t>Manuale</t>
        </is>
      </c>
      <c r="E31" s="6" t="inlineStr">
        <is>
          <t>No</t>
        </is>
      </c>
      <c r="F31" s="6" t="inlineStr">
        <is>
          <t>Quota societaria</t>
        </is>
      </c>
    </row>
    <row r="32">
      <c r="A32" s="5" t="inlineStr">
        <is>
          <t>Socio</t>
        </is>
      </c>
      <c r="B32" s="5" t="inlineStr">
        <is>
          <t>ripartizione[ ]</t>
        </is>
      </c>
      <c r="C32" s="5" t="inlineStr">
        <is>
          <t>sotto-tabella</t>
        </is>
      </c>
      <c r="D32" s="5" t="inlineStr">
        <is>
          <t>Vedi sotto</t>
        </is>
      </c>
      <c r="E32" s="5" t="inlineStr">
        <is>
          <t>Sì</t>
        </is>
      </c>
      <c r="F32" s="5" t="inlineStr">
        <is>
          <t>Auto-dichiarata (i soci non segnano ore), Σ = 100%</t>
        </is>
      </c>
    </row>
    <row r="33">
      <c r="A33" s="6" t="inlineStr">
        <is>
          <t>Socio</t>
        </is>
      </c>
      <c r="B33" s="6" t="inlineStr">
        <is>
          <t>compenso</t>
        </is>
      </c>
      <c r="C33" s="6" t="inlineStr">
        <is>
          <t>decimal €</t>
        </is>
      </c>
      <c r="D33" s="6" t="inlineStr">
        <is>
          <t>Manuale</t>
        </is>
      </c>
      <c r="E33" s="6" t="inlineStr">
        <is>
          <t>No</t>
        </is>
      </c>
      <c r="F33" s="6" t="inlineStr">
        <is>
          <t>Es. 1500 (mensile)</t>
        </is>
      </c>
    </row>
    <row r="34">
      <c r="A34" s="5" t="inlineStr">
        <is>
          <t>Socio</t>
        </is>
      </c>
      <c r="B34" s="5" t="inlineStr">
        <is>
          <t>progetti_assegnati</t>
        </is>
      </c>
      <c r="C34" s="5">
        <f> risorse_assegnate[] (inverso)</f>
        <v/>
      </c>
      <c r="D34" s="5" t="inlineStr">
        <is>
          <t>Progetti</t>
        </is>
      </c>
      <c r="E34" s="5" t="inlineStr">
        <is>
          <t>No</t>
        </is>
      </c>
      <c r="F34" s="5" t="inlineStr">
        <is>
          <t>Progetti su cui il socio dichiara di lavorare; base per il RIPARTO PESATO della quota progettuale (chiave di riparto §4.6), non più equo</t>
        </is>
      </c>
    </row>
    <row r="35" ht="18" customHeight="1">
      <c r="A35" s="12" t="inlineStr">
        <is>
          <t>SOTTO-TABELLA — ripartizione attività socio (validazione: Σ = 100%)</t>
        </is>
      </c>
      <c r="B35" s="17" t="n"/>
      <c r="C35" s="17" t="n"/>
      <c r="D35" s="17" t="n"/>
      <c r="E35" s="17" t="n"/>
      <c r="F35" s="18" t="n"/>
    </row>
    <row r="36">
      <c r="A36" s="5" t="inlineStr">
        <is>
          <t>ripartizione</t>
        </is>
      </c>
      <c r="B36" s="5" t="inlineStr">
        <is>
          <t>amministrativa_pct</t>
        </is>
      </c>
      <c r="C36" s="5" t="inlineStr">
        <is>
          <t>decimal %</t>
        </is>
      </c>
      <c r="D36" s="5" t="inlineStr">
        <is>
          <t>Manuale</t>
        </is>
      </c>
      <c r="E36" s="5" t="inlineStr">
        <is>
          <t>Sì</t>
        </is>
      </c>
      <c r="F36" s="5" t="inlineStr">
        <is>
          <t>Es. 0% → costo struttura (overhead amministrativo)</t>
        </is>
      </c>
    </row>
    <row r="37">
      <c r="A37" s="6" t="inlineStr">
        <is>
          <t>ripartizione</t>
        </is>
      </c>
      <c r="B37" s="6" t="inlineStr">
        <is>
          <t>commerciale_pct</t>
        </is>
      </c>
      <c r="C37" s="6" t="inlineStr">
        <is>
          <t>decimal %</t>
        </is>
      </c>
      <c r="D37" s="6" t="inlineStr">
        <is>
          <t>Manuale</t>
        </is>
      </c>
      <c r="E37" s="6" t="inlineStr">
        <is>
          <t>Sì</t>
        </is>
      </c>
      <c r="F37" s="6" t="inlineStr">
        <is>
          <t>Es. 60% → costo struttura (overhead commerciale/BD)</t>
        </is>
      </c>
    </row>
    <row r="38">
      <c r="A38" s="5" t="inlineStr">
        <is>
          <t>ripartizione</t>
        </is>
      </c>
      <c r="B38" s="5" t="inlineStr">
        <is>
          <t>progettuale_pct</t>
        </is>
      </c>
      <c r="C38" s="5" t="inlineStr">
        <is>
          <t>decimal %</t>
        </is>
      </c>
      <c r="D38" s="5" t="inlineStr">
        <is>
          <t>Manuale</t>
        </is>
      </c>
      <c r="E38" s="5" t="inlineStr">
        <is>
          <t>Sì</t>
        </is>
      </c>
      <c r="F38" s="5" t="inlineStr">
        <is>
          <t>Es. 40%: (compenso × 40%) = POOL progettuale, RIPARTITO PER PESO sui progetti attivi nel periodo (chiave §4.6), non in parti uguali. quota_i = pool × w_i/Σw. Equal-split = caso degenere</t>
        </is>
      </c>
    </row>
    <row r="40">
      <c r="A40" s="25" t="inlineStr">
        <is>
          <t>RIPARTO DELLA QUOTA PROGETTUALE SOCIO SUI PROGETTI (v1 — riparto pesato, §4.6)</t>
        </is>
      </c>
    </row>
    <row r="41">
      <c r="A41" s="25" t="inlineStr">
        <is>
          <t>Pool</t>
        </is>
      </c>
      <c r="B41" t="inlineStr">
        <is>
          <t>compenso × progettuale_pct</t>
        </is>
      </c>
      <c r="C41" t="inlineStr">
        <is>
          <t>CALCOLATO</t>
        </is>
      </c>
      <c r="D41" t="inlineStr">
        <is>
          <t>—</t>
        </is>
      </c>
      <c r="E41" t="inlineStr">
        <is>
          <t>—</t>
        </is>
      </c>
      <c r="F41" t="inlineStr">
        <is>
          <t>Invariato: il totale imputato alle commesse resta = quota progettuale (no doppio conteggio; admin+comm → OVH)</t>
        </is>
      </c>
    </row>
    <row r="42">
      <c r="A42" s="25" t="inlineStr">
        <is>
          <t>Riparto</t>
        </is>
      </c>
      <c r="B42" t="inlineStr">
        <is>
          <t>quota_i = Pool × w_i / Σ w_attivi</t>
        </is>
      </c>
      <c r="C42" t="inlineStr">
        <is>
          <t>CALCOLATO</t>
        </is>
      </c>
      <c r="D42" t="inlineStr">
        <is>
          <t>—</t>
        </is>
      </c>
      <c r="E42" t="inlineStr">
        <is>
          <t>—</t>
        </is>
      </c>
      <c r="F42" t="inlineStr">
        <is>
          <t>w = peso di riparto del progetto attivo nel periodo</t>
        </is>
      </c>
    </row>
    <row r="43">
      <c r="A43" s="25" t="inlineStr">
        <is>
          <t>Peso w (cascata)</t>
        </is>
      </c>
      <c r="B43" t="inlineStr">
        <is>
          <t>1) override% mensile → 2) ore-socio a preventivo → 3) intensita_socio S/M/L (default M)</t>
        </is>
      </c>
      <c r="C43" t="inlineStr">
        <is>
          <t>—</t>
        </is>
      </c>
      <c r="D43" t="inlineStr">
        <is>
          <t>enum/calc</t>
        </is>
      </c>
      <c r="E43" t="inlineStr">
        <is>
          <t>—</t>
        </is>
      </c>
      <c r="F43" t="inlineStr">
        <is>
          <t>Filtrato da attivo_nel_periodo. Pesi tutti uguali ⇒ equal-split (degenere, retro-compatibile). S/M/L = 1:2:4 (≈4/8/16 h-socio/mese), default M; ore-preventivo normalizzate a base mensile (stessa scala)</t>
        </is>
      </c>
    </row>
    <row r="44">
      <c r="A44" s="25" t="inlineStr">
        <is>
          <t>attivo_nel_periodo[ ]</t>
        </is>
      </c>
      <c r="B44" t="inlineStr">
        <is>
          <t>sotto-tab mensile (periodo, progetto_id, bool)</t>
        </is>
      </c>
      <c r="C44" t="inlineStr">
        <is>
          <t>ERP</t>
        </is>
      </c>
      <c r="D44" t="inlineStr">
        <is>
          <t>bool</t>
        </is>
      </c>
      <c r="E44" t="inlineStr">
        <is>
          <t>No</t>
        </is>
      </c>
      <c r="F44" t="inlineStr">
        <is>
          <t>Progetti su cui il socio è realmente attivo nel mese: filtra il denominatore (i fermi non diluiscono). Default: assegnati = attivi</t>
        </is>
      </c>
    </row>
    <row r="45">
      <c r="A45" s="25" t="inlineStr">
        <is>
          <t>ripartizione_progettuale_override[ ]</t>
        </is>
      </c>
      <c r="B45" t="inlineStr">
        <is>
          <t>sotto-tab mensile (periodo, progetto_id, pct)</t>
        </is>
      </c>
      <c r="C45" t="inlineStr">
        <is>
          <t>ERP</t>
        </is>
      </c>
      <c r="D45" t="inlineStr">
        <is>
          <t xml:space="preserve">% </t>
        </is>
      </c>
      <c r="E45" t="inlineStr">
        <is>
          <t>No</t>
        </is>
      </c>
      <c r="F45" t="inlineStr">
        <is>
          <t>OPZIONALE, OFF DI DEFAULT. Se compilata determina la ripartizione % del mese (Σ=100% sui progetti attivi). Ha priorità nella cascata. Stesso gesto della ripartizione admin/comm, un livello più giù</t>
        </is>
      </c>
    </row>
    <row r="46">
      <c r="A46" s="25" t="inlineStr">
        <is>
          <t>ROADMAP v2</t>
        </is>
      </c>
      <c r="B46" t="inlineStr">
        <is>
          <t>costo-socio = sforzo × tariffa standard; scarto vs compenso → sotto/sovra-assorbimento di struttura</t>
        </is>
      </c>
      <c r="C46" t="inlineStr">
        <is>
          <t>—</t>
        </is>
      </c>
      <c r="D46" t="inlineStr">
        <is>
          <t>—</t>
        </is>
      </c>
      <c r="E46" t="inlineStr">
        <is>
          <t>—</t>
        </is>
      </c>
      <c r="F46" t="inlineStr">
        <is>
          <t>Elimina la diluizione da portafoglio e unifica col pricing (§18). Stadiata dopo il consolidamento della chiave-peso</t>
        </is>
      </c>
    </row>
  </sheetData>
  <mergeCells count="7">
    <mergeCell ref="A2:F2"/>
    <mergeCell ref="A16:F16"/>
    <mergeCell ref="A28:F28"/>
    <mergeCell ref="A1:F1"/>
    <mergeCell ref="A5:F5"/>
    <mergeCell ref="A22:F22"/>
    <mergeCell ref="A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3" customWidth="1" min="4" max="4"/>
    <col width="12" customWidth="1" min="5" max="5"/>
    <col width="16" customWidth="1" min="6" max="6"/>
  </cols>
  <sheetData>
    <row r="1" ht="26" customHeight="1">
      <c r="A1" s="1" t="inlineStr">
        <is>
          <t>Piano dei conti gestionale + struttura del Conto Economico</t>
        </is>
      </c>
    </row>
    <row r="2" ht="28" customHeight="1">
      <c r="A2" s="2" t="inlineStr">
        <is>
          <t>Proposta di partenza: le categorie (foglio 1) mappate su un CE a scalare. Da validare/adattare.</t>
        </is>
      </c>
    </row>
    <row r="4">
      <c r="A4" s="3" t="inlineStr">
        <is>
          <t>A) STRUTTURA DEL CONTO ECONOMICO GESTIONALE (a scalare)</t>
        </is>
      </c>
    </row>
    <row r="5">
      <c r="A5" s="4" t="inlineStr">
        <is>
          <t>Segno</t>
        </is>
      </c>
      <c r="B5" s="4" t="inlineStr">
        <is>
          <t>Voce del Conto Economico</t>
        </is>
      </c>
      <c r="C5" s="4" t="inlineStr">
        <is>
          <t>Nota</t>
        </is>
      </c>
      <c r="D5" s="4" t="n"/>
      <c r="E5" s="4" t="n"/>
      <c r="F5" s="4" t="n"/>
    </row>
    <row r="6">
      <c r="A6" s="5" t="inlineStr">
        <is>
          <t>+</t>
        </is>
      </c>
      <c r="B6" s="5" t="inlineStr">
        <is>
          <t>Ricavi da progetti</t>
        </is>
      </c>
      <c r="C6" s="5" t="inlineStr">
        <is>
          <t>Per tipo: Social / Web / Gestione / Produzione / Stand</t>
        </is>
      </c>
    </row>
    <row r="7">
      <c r="A7" s="6" t="inlineStr">
        <is>
          <t>+</t>
        </is>
      </c>
      <c r="B7" s="6" t="inlineStr">
        <is>
          <t>Altri ricavi</t>
        </is>
      </c>
      <c r="C7" s="6" t="inlineStr"/>
    </row>
    <row r="8">
      <c r="A8" s="5" t="inlineStr">
        <is>
          <t>=</t>
        </is>
      </c>
      <c r="B8" s="5" t="inlineStr">
        <is>
          <t>VALORE DELLA PRODUZIONE</t>
        </is>
      </c>
      <c r="C8" s="5" t="inlineStr"/>
    </row>
    <row r="9">
      <c r="A9" s="6" t="inlineStr">
        <is>
          <t>−</t>
        </is>
      </c>
      <c r="B9" s="6" t="inlineStr">
        <is>
          <t>Compensi collaboratori (diretti)</t>
        </is>
      </c>
      <c r="C9" s="6" t="inlineStr">
        <is>
          <t>Variabile, diretto di commessa</t>
        </is>
      </c>
    </row>
    <row r="10">
      <c r="A10" s="5" t="inlineStr">
        <is>
          <t>−</t>
        </is>
      </c>
      <c r="B10" s="5" t="inlineStr">
        <is>
          <t>Costo M.O. interna allocata</t>
        </is>
      </c>
      <c r="C10" s="5" t="inlineStr">
        <is>
          <t>Quota dipendenti/soci imputata ai progetti</t>
        </is>
      </c>
    </row>
    <row r="11">
      <c r="A11" s="6" t="inlineStr">
        <is>
          <t>−</t>
        </is>
      </c>
      <c r="B11" s="6" t="inlineStr">
        <is>
          <t>Costi diretti esterni di progetto</t>
        </is>
      </c>
      <c r="C11" s="6" t="inlineStr">
        <is>
          <t>Adv spend, licenze cliente, produzione/stampa stand</t>
        </is>
      </c>
    </row>
    <row r="12">
      <c r="A12" s="5" t="inlineStr">
        <is>
          <t>=</t>
        </is>
      </c>
      <c r="B12" s="5" t="inlineStr">
        <is>
          <t>MARGINE LORDO DI COMMESSA</t>
        </is>
      </c>
      <c r="C12" s="5">
        <f> margine di contribuzione (roll-up dai progetti)</f>
        <v/>
      </c>
    </row>
    <row r="13">
      <c r="A13" s="6" t="inlineStr">
        <is>
          <t>−</t>
        </is>
      </c>
      <c r="B13" s="6" t="inlineStr">
        <is>
          <t>Costo personale di struttura</t>
        </is>
      </c>
      <c r="C13" s="6" t="inlineStr">
        <is>
          <t>Quota non allocata: amministrativa + commerciale</t>
        </is>
      </c>
    </row>
    <row r="14">
      <c r="A14" s="5" t="inlineStr">
        <is>
          <t>−</t>
        </is>
      </c>
      <c r="B14" s="5" t="inlineStr">
        <is>
          <t>Affitto e utenze</t>
        </is>
      </c>
      <c r="C14" s="5" t="inlineStr">
        <is>
          <t>Fisso struttura</t>
        </is>
      </c>
    </row>
    <row r="15">
      <c r="A15" s="6" t="inlineStr">
        <is>
          <t>−</t>
        </is>
      </c>
      <c r="B15" s="6" t="inlineStr">
        <is>
          <t>Software / SaaS interni</t>
        </is>
      </c>
      <c r="C15" s="6" t="inlineStr">
        <is>
          <t>Fisso struttura</t>
        </is>
      </c>
    </row>
    <row r="16">
      <c r="A16" s="5" t="inlineStr">
        <is>
          <t>−</t>
        </is>
      </c>
      <c r="B16" s="5" t="inlineStr">
        <is>
          <t>Commissioni bancarie e di incasso</t>
        </is>
      </c>
      <c r="C16" s="5" t="inlineStr">
        <is>
          <t>Stripe/PayPal — variabile</t>
        </is>
      </c>
    </row>
    <row r="17">
      <c r="A17" s="6" t="inlineStr">
        <is>
          <t>−</t>
        </is>
      </c>
      <c r="B17" s="6" t="inlineStr">
        <is>
          <t>Costi commerciali / marketing proprio</t>
        </is>
      </c>
      <c r="C17" s="6" t="inlineStr"/>
    </row>
    <row r="18">
      <c r="A18" s="5" t="inlineStr">
        <is>
          <t>−</t>
        </is>
      </c>
      <c r="B18" s="5" t="inlineStr">
        <is>
          <t>Consulenze (commercialista, legale)</t>
        </is>
      </c>
      <c r="C18" s="5" t="inlineStr"/>
    </row>
    <row r="19">
      <c r="A19" s="6" t="inlineStr">
        <is>
          <t>−</t>
        </is>
      </c>
      <c r="B19" s="6" t="inlineStr">
        <is>
          <t>Spese generali e amministrative</t>
        </is>
      </c>
      <c r="C19" s="6" t="inlineStr"/>
    </row>
    <row r="20">
      <c r="A20" s="5" t="inlineStr">
        <is>
          <t>=</t>
        </is>
      </c>
      <c r="B20" s="5" t="inlineStr">
        <is>
          <t>MARGINE OPERATIVO (EBIT gestionale)</t>
        </is>
      </c>
      <c r="C20" s="5" t="inlineStr"/>
    </row>
    <row r="21">
      <c r="A21" s="6" t="inlineStr">
        <is>
          <t>−</t>
        </is>
      </c>
      <c r="B21" s="6" t="inlineStr">
        <is>
          <t>Oneri finanziari</t>
        </is>
      </c>
      <c r="C21" s="6" t="inlineStr">
        <is>
          <t>Interessi su fidi / finanziamenti</t>
        </is>
      </c>
    </row>
    <row r="22">
      <c r="A22" s="5" t="inlineStr">
        <is>
          <t>−</t>
        </is>
      </c>
      <c r="B22" s="5" t="inlineStr">
        <is>
          <t>Imposte (previsionale)</t>
        </is>
      </c>
      <c r="C22" s="5" t="inlineStr">
        <is>
          <t>Registrazione, non calcolo (foglio 0, principio 6)</t>
        </is>
      </c>
    </row>
    <row r="23">
      <c r="A23" s="6" t="inlineStr">
        <is>
          <t>=</t>
        </is>
      </c>
      <c r="B23" s="6" t="inlineStr">
        <is>
          <t>RISULTATO NETTO GESTIONALE</t>
        </is>
      </c>
      <c r="C23" s="6" t="inlineStr"/>
    </row>
    <row r="25">
      <c r="A25" s="3" t="inlineStr">
        <is>
          <t>B) CATEGORIE PROPOSTE (mappate sulle voci di CE)</t>
        </is>
      </c>
    </row>
    <row r="26">
      <c r="A26" s="4" t="inlineStr">
        <is>
          <t>Codice</t>
        </is>
      </c>
      <c r="B26" s="4" t="inlineStr">
        <is>
          <t>Categoria</t>
        </is>
      </c>
      <c r="C26" s="4" t="inlineStr">
        <is>
          <t>Voce CE</t>
        </is>
      </c>
      <c r="D26" s="4" t="inlineStr">
        <is>
          <t>Flusso</t>
        </is>
      </c>
      <c r="E26" s="4" t="inlineStr">
        <is>
          <t>Natura</t>
        </is>
      </c>
      <c r="F26" s="4" t="inlineStr">
        <is>
          <t>Su commessa</t>
        </is>
      </c>
    </row>
    <row r="27" ht="18" customHeight="1">
      <c r="A27" s="12" t="inlineStr">
        <is>
          <t>RICAVI</t>
        </is>
      </c>
      <c r="B27" s="17" t="n"/>
      <c r="C27" s="17" t="n"/>
      <c r="D27" s="17" t="n"/>
      <c r="E27" s="17" t="n"/>
      <c r="F27" s="18" t="n"/>
    </row>
    <row r="28">
      <c r="A28" s="5" t="inlineStr">
        <is>
          <t>R01</t>
        </is>
      </c>
      <c r="B28" s="5" t="inlineStr">
        <is>
          <t>Ricavi progetti Social</t>
        </is>
      </c>
      <c r="C28" s="5" t="inlineStr">
        <is>
          <t>Valore produzione</t>
        </is>
      </c>
      <c r="D28" s="5" t="inlineStr">
        <is>
          <t>ricavo</t>
        </is>
      </c>
      <c r="E28" s="5" t="inlineStr">
        <is>
          <t>variabile</t>
        </is>
      </c>
      <c r="F28" s="5" t="inlineStr">
        <is>
          <t>diretto</t>
        </is>
      </c>
    </row>
    <row r="29">
      <c r="A29" s="6" t="inlineStr">
        <is>
          <t>R02</t>
        </is>
      </c>
      <c r="B29" s="6" t="inlineStr">
        <is>
          <t>Ricavi progetti Web</t>
        </is>
      </c>
      <c r="C29" s="6" t="inlineStr">
        <is>
          <t>Valore produzione</t>
        </is>
      </c>
      <c r="D29" s="6" t="inlineStr">
        <is>
          <t>ricavo</t>
        </is>
      </c>
      <c r="E29" s="6" t="inlineStr">
        <is>
          <t>variabile</t>
        </is>
      </c>
      <c r="F29" s="6" t="inlineStr">
        <is>
          <t>diretto</t>
        </is>
      </c>
    </row>
    <row r="30">
      <c r="A30" s="5" t="inlineStr">
        <is>
          <t>R03</t>
        </is>
      </c>
      <c r="B30" s="5" t="inlineStr">
        <is>
          <t>Ricavi Gestione Web</t>
        </is>
      </c>
      <c r="C30" s="5" t="inlineStr">
        <is>
          <t>Valore produzione</t>
        </is>
      </c>
      <c r="D30" s="5" t="inlineStr">
        <is>
          <t>ricavo</t>
        </is>
      </c>
      <c r="E30" s="5" t="inlineStr">
        <is>
          <t>variabile</t>
        </is>
      </c>
      <c r="F30" s="5" t="inlineStr">
        <is>
          <t>diretto</t>
        </is>
      </c>
    </row>
    <row r="31">
      <c r="A31" s="6" t="inlineStr">
        <is>
          <t>R04</t>
        </is>
      </c>
      <c r="B31" s="6" t="inlineStr">
        <is>
          <t>Ricavi Produzione contenuti</t>
        </is>
      </c>
      <c r="C31" s="6" t="inlineStr">
        <is>
          <t>Valore produzione</t>
        </is>
      </c>
      <c r="D31" s="6" t="inlineStr">
        <is>
          <t>ricavo</t>
        </is>
      </c>
      <c r="E31" s="6" t="inlineStr">
        <is>
          <t>variabile</t>
        </is>
      </c>
      <c r="F31" s="6" t="inlineStr">
        <is>
          <t>diretto</t>
        </is>
      </c>
    </row>
    <row r="32">
      <c r="A32" s="5" t="inlineStr">
        <is>
          <t>R05</t>
        </is>
      </c>
      <c r="B32" s="5" t="inlineStr">
        <is>
          <t>Ricavi Stand fieristici</t>
        </is>
      </c>
      <c r="C32" s="5" t="inlineStr">
        <is>
          <t>Valore produzione</t>
        </is>
      </c>
      <c r="D32" s="5" t="inlineStr">
        <is>
          <t>ricavo</t>
        </is>
      </c>
      <c r="E32" s="5" t="inlineStr">
        <is>
          <t>variabile</t>
        </is>
      </c>
      <c r="F32" s="5" t="inlineStr">
        <is>
          <t>diretto</t>
        </is>
      </c>
    </row>
    <row r="33">
      <c r="A33" s="6" t="inlineStr">
        <is>
          <t>R09</t>
        </is>
      </c>
      <c r="B33" s="6" t="inlineStr">
        <is>
          <t>Altri ricavi</t>
        </is>
      </c>
      <c r="C33" s="6" t="inlineStr">
        <is>
          <t>Altri ricavi</t>
        </is>
      </c>
      <c r="D33" s="6" t="inlineStr">
        <is>
          <t>ricavo</t>
        </is>
      </c>
      <c r="E33" s="6" t="inlineStr">
        <is>
          <t>variabile</t>
        </is>
      </c>
      <c r="F33" s="6" t="inlineStr">
        <is>
          <t>indiretto</t>
        </is>
      </c>
    </row>
    <row r="34" ht="18" customHeight="1">
      <c r="A34" s="12" t="inlineStr">
        <is>
          <t>COSTI DIRETTI DI COMMESSA</t>
        </is>
      </c>
      <c r="B34" s="17" t="n"/>
      <c r="C34" s="17" t="n"/>
      <c r="D34" s="17" t="n"/>
      <c r="E34" s="17" t="n"/>
      <c r="F34" s="18" t="n"/>
    </row>
    <row r="35">
      <c r="A35" s="6" t="inlineStr">
        <is>
          <t>C01</t>
        </is>
      </c>
      <c r="B35" s="6" t="inlineStr">
        <is>
          <t>Compensi collaboratori</t>
        </is>
      </c>
      <c r="C35" s="6" t="inlineStr">
        <is>
          <t>Compensi collab. diretti</t>
        </is>
      </c>
      <c r="D35" s="6" t="inlineStr">
        <is>
          <t>costo</t>
        </is>
      </c>
      <c r="E35" s="6" t="inlineStr">
        <is>
          <t>variabile</t>
        </is>
      </c>
      <c r="F35" s="6" t="inlineStr">
        <is>
          <t>diretto</t>
        </is>
      </c>
    </row>
    <row r="36">
      <c r="A36" s="5" t="inlineStr">
        <is>
          <t>C02</t>
        </is>
      </c>
      <c r="B36" s="5" t="inlineStr">
        <is>
          <t>Costo M.O. interna (allocata)</t>
        </is>
      </c>
      <c r="C36" s="5" t="inlineStr">
        <is>
          <t>Costo M.O. allocata</t>
        </is>
      </c>
      <c r="D36" s="5" t="inlineStr">
        <is>
          <t>costo</t>
        </is>
      </c>
      <c r="E36" s="5" t="inlineStr">
        <is>
          <t>fisso</t>
        </is>
      </c>
      <c r="F36" s="5" t="inlineStr">
        <is>
          <t>diretto</t>
        </is>
      </c>
    </row>
    <row r="37">
      <c r="A37" s="6" t="inlineStr">
        <is>
          <t>C03</t>
        </is>
      </c>
      <c r="B37" s="6" t="inlineStr">
        <is>
          <t>Adv spend campagne cliente</t>
        </is>
      </c>
      <c r="C37" s="6" t="inlineStr">
        <is>
          <t>Costi diretti esterni</t>
        </is>
      </c>
      <c r="D37" s="6" t="inlineStr">
        <is>
          <t>costo</t>
        </is>
      </c>
      <c r="E37" s="6" t="inlineStr">
        <is>
          <t>variabile</t>
        </is>
      </c>
      <c r="F37" s="6" t="inlineStr">
        <is>
          <t>diretto</t>
        </is>
      </c>
    </row>
    <row r="38">
      <c r="A38" s="5" t="inlineStr">
        <is>
          <t>C04</t>
        </is>
      </c>
      <c r="B38" s="5" t="inlineStr">
        <is>
          <t>Licenze / asset di progetto</t>
        </is>
      </c>
      <c r="C38" s="5" t="inlineStr">
        <is>
          <t>Costi diretti esterni</t>
        </is>
      </c>
      <c r="D38" s="5" t="inlineStr">
        <is>
          <t>costo</t>
        </is>
      </c>
      <c r="E38" s="5" t="inlineStr">
        <is>
          <t>variabile</t>
        </is>
      </c>
      <c r="F38" s="5" t="inlineStr">
        <is>
          <t>diretto</t>
        </is>
      </c>
    </row>
    <row r="39">
      <c r="A39" s="6" t="inlineStr">
        <is>
          <t>C05</t>
        </is>
      </c>
      <c r="B39" s="6" t="inlineStr">
        <is>
          <t>Produzione esterna (stampa, troupe, stand)</t>
        </is>
      </c>
      <c r="C39" s="6" t="inlineStr">
        <is>
          <t>Costi diretti esterni</t>
        </is>
      </c>
      <c r="D39" s="6" t="inlineStr">
        <is>
          <t>costo</t>
        </is>
      </c>
      <c r="E39" s="6" t="inlineStr">
        <is>
          <t>variabile</t>
        </is>
      </c>
      <c r="F39" s="6" t="inlineStr">
        <is>
          <t>diretto</t>
        </is>
      </c>
    </row>
    <row r="40" ht="18" customHeight="1">
      <c r="A40" s="12" t="inlineStr">
        <is>
          <t>COSTI DI STRUTTURA / OVERHEAD</t>
        </is>
      </c>
      <c r="B40" s="17" t="n"/>
      <c r="C40" s="17" t="n"/>
      <c r="D40" s="17" t="n"/>
      <c r="E40" s="17" t="n"/>
      <c r="F40" s="18" t="n"/>
    </row>
    <row r="41">
      <c r="A41" s="6" t="inlineStr">
        <is>
          <t>S01</t>
        </is>
      </c>
      <c r="B41" s="6" t="inlineStr">
        <is>
          <t>Personale di struttura (quota non allocata)</t>
        </is>
      </c>
      <c r="C41" s="6" t="inlineStr">
        <is>
          <t>Costo personale struttura</t>
        </is>
      </c>
      <c r="D41" s="6" t="inlineStr">
        <is>
          <t>costo</t>
        </is>
      </c>
      <c r="E41" s="6" t="inlineStr">
        <is>
          <t>fisso</t>
        </is>
      </c>
      <c r="F41" s="6" t="inlineStr">
        <is>
          <t>indiretto</t>
        </is>
      </c>
    </row>
    <row r="42">
      <c r="A42" s="5" t="inlineStr">
        <is>
          <t>S02</t>
        </is>
      </c>
      <c r="B42" s="5" t="inlineStr">
        <is>
          <t>Affitto e utenze</t>
        </is>
      </c>
      <c r="C42" s="5" t="inlineStr">
        <is>
          <t>Affitto e utenze</t>
        </is>
      </c>
      <c r="D42" s="5" t="inlineStr">
        <is>
          <t>costo</t>
        </is>
      </c>
      <c r="E42" s="5" t="inlineStr">
        <is>
          <t>fisso</t>
        </is>
      </c>
      <c r="F42" s="5" t="inlineStr">
        <is>
          <t>indiretto</t>
        </is>
      </c>
    </row>
    <row r="43">
      <c r="A43" s="6" t="inlineStr">
        <is>
          <t>S03</t>
        </is>
      </c>
      <c r="B43" s="6" t="inlineStr">
        <is>
          <t>Software / SaaS interni</t>
        </is>
      </c>
      <c r="C43" s="6" t="inlineStr">
        <is>
          <t>Software/SaaS</t>
        </is>
      </c>
      <c r="D43" s="6" t="inlineStr">
        <is>
          <t>costo</t>
        </is>
      </c>
      <c r="E43" s="6" t="inlineStr">
        <is>
          <t>fisso</t>
        </is>
      </c>
      <c r="F43" s="6" t="inlineStr">
        <is>
          <t>indiretto</t>
        </is>
      </c>
    </row>
    <row r="44">
      <c r="A44" s="5" t="inlineStr">
        <is>
          <t>S04</t>
        </is>
      </c>
      <c r="B44" s="5" t="inlineStr">
        <is>
          <t>Spese e commissioni bancarie</t>
        </is>
      </c>
      <c r="C44" s="5" t="inlineStr">
        <is>
          <t>Commissioni bancarie</t>
        </is>
      </c>
      <c r="D44" s="5" t="inlineStr">
        <is>
          <t>costo</t>
        </is>
      </c>
      <c r="E44" s="5" t="inlineStr">
        <is>
          <t>variabile</t>
        </is>
      </c>
      <c r="F44" s="5" t="inlineStr">
        <is>
          <t>indiretto</t>
        </is>
      </c>
    </row>
    <row r="45">
      <c r="A45" s="6" t="inlineStr">
        <is>
          <t>S05</t>
        </is>
      </c>
      <c r="B45" s="6" t="inlineStr">
        <is>
          <t>Marketing proprio Bite</t>
        </is>
      </c>
      <c r="C45" s="6" t="inlineStr">
        <is>
          <t>Costi commerciali</t>
        </is>
      </c>
      <c r="D45" s="6" t="inlineStr">
        <is>
          <t>costo</t>
        </is>
      </c>
      <c r="E45" s="6" t="inlineStr">
        <is>
          <t>variabile</t>
        </is>
      </c>
      <c r="F45" s="6" t="inlineStr">
        <is>
          <t>indiretto</t>
        </is>
      </c>
    </row>
    <row r="46">
      <c r="A46" s="5" t="inlineStr">
        <is>
          <t>S06</t>
        </is>
      </c>
      <c r="B46" s="5" t="inlineStr">
        <is>
          <t>Consulenze (commercialista, legale)</t>
        </is>
      </c>
      <c r="C46" s="5" t="inlineStr">
        <is>
          <t>Consulenze</t>
        </is>
      </c>
      <c r="D46" s="5" t="inlineStr">
        <is>
          <t>costo</t>
        </is>
      </c>
      <c r="E46" s="5" t="inlineStr">
        <is>
          <t>fisso</t>
        </is>
      </c>
      <c r="F46" s="5" t="inlineStr">
        <is>
          <t>indiretto</t>
        </is>
      </c>
    </row>
    <row r="47">
      <c r="A47" s="6" t="inlineStr">
        <is>
          <t>S07</t>
        </is>
      </c>
      <c r="B47" s="6" t="inlineStr">
        <is>
          <t>Spese generali e amministrative</t>
        </is>
      </c>
      <c r="C47" s="6" t="inlineStr">
        <is>
          <t>Spese generali</t>
        </is>
      </c>
      <c r="D47" s="6" t="inlineStr">
        <is>
          <t>costo</t>
        </is>
      </c>
      <c r="E47" s="6" t="inlineStr">
        <is>
          <t>fisso</t>
        </is>
      </c>
      <c r="F47" s="6" t="inlineStr">
        <is>
          <t>indiretto</t>
        </is>
      </c>
    </row>
    <row r="48">
      <c r="A48" s="5" t="inlineStr">
        <is>
          <t>S08</t>
        </is>
      </c>
      <c r="B48" s="5" t="inlineStr">
        <is>
          <t>Hardware / attrezzatura (o ammortamenti)</t>
        </is>
      </c>
      <c r="C48" s="5" t="inlineStr">
        <is>
          <t>Spese generali</t>
        </is>
      </c>
      <c r="D48" s="5" t="inlineStr">
        <is>
          <t>costo</t>
        </is>
      </c>
      <c r="E48" s="5" t="inlineStr">
        <is>
          <t>fisso</t>
        </is>
      </c>
      <c r="F48" s="5" t="inlineStr">
        <is>
          <t>indiretto</t>
        </is>
      </c>
    </row>
    <row r="49" ht="18" customHeight="1">
      <c r="A49" s="12" t="inlineStr">
        <is>
          <t>AREA FINANZIARIA / FISCALE</t>
        </is>
      </c>
      <c r="B49" s="17" t="n"/>
      <c r="C49" s="17" t="n"/>
      <c r="D49" s="17" t="n"/>
      <c r="E49" s="17" t="n"/>
      <c r="F49" s="18" t="n"/>
    </row>
    <row r="50">
      <c r="A50" s="5" t="inlineStr">
        <is>
          <t>F01</t>
        </is>
      </c>
      <c r="B50" s="5" t="inlineStr">
        <is>
          <t>Oneri finanziari (interessi)</t>
        </is>
      </c>
      <c r="C50" s="5" t="inlineStr">
        <is>
          <t>Oneri finanziari</t>
        </is>
      </c>
      <c r="D50" s="5" t="inlineStr">
        <is>
          <t>costo</t>
        </is>
      </c>
      <c r="E50" s="5" t="inlineStr">
        <is>
          <t>variabile</t>
        </is>
      </c>
      <c r="F50" s="5" t="inlineStr">
        <is>
          <t>indiretto</t>
        </is>
      </c>
    </row>
    <row r="51">
      <c r="A51" s="6" t="inlineStr">
        <is>
          <t>F02</t>
        </is>
      </c>
      <c r="B51" s="6" t="inlineStr">
        <is>
          <t>Imposte</t>
        </is>
      </c>
      <c r="C51" s="6" t="inlineStr">
        <is>
          <t>Imposte</t>
        </is>
      </c>
      <c r="D51" s="6" t="inlineStr">
        <is>
          <t>costo</t>
        </is>
      </c>
      <c r="E51" s="6" t="inlineStr">
        <is>
          <t>variabile</t>
        </is>
      </c>
      <c r="F51" s="6" t="inlineStr">
        <is>
          <t>indiretto</t>
        </is>
      </c>
    </row>
  </sheetData>
  <mergeCells count="6">
    <mergeCell ref="A2:F2"/>
    <mergeCell ref="A49:F49"/>
    <mergeCell ref="A1:F1"/>
    <mergeCell ref="A27:F27"/>
    <mergeCell ref="A40:F40"/>
    <mergeCell ref="A34:F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30" customWidth="1" min="3" max="3"/>
  </cols>
  <sheetData>
    <row r="1" ht="26" customHeight="1">
      <c r="A1" s="1" t="inlineStr">
        <is>
          <t>Commessa — sezione gestionale</t>
        </is>
      </c>
    </row>
    <row r="2" ht="28" customHeight="1">
      <c r="A2" s="2" t="inlineStr">
        <is>
          <t>Generazione periodica (date/competenza), margine di contribuzione a commessa aperta, attribuzione OVH a chiusura.</t>
        </is>
      </c>
    </row>
    <row r="4">
      <c r="A4" s="3" t="inlineStr">
        <is>
          <t>A) GENERAZIONE DELLA COMMESSA (date e competenza)</t>
        </is>
      </c>
    </row>
    <row r="5">
      <c r="A5" s="4" t="inlineStr">
        <is>
          <t>Campo</t>
        </is>
      </c>
      <c r="B5" s="4" t="inlineStr">
        <is>
          <t>Regola</t>
        </is>
      </c>
      <c r="C5" s="4" t="inlineStr">
        <is>
          <t>Esempio</t>
        </is>
      </c>
    </row>
    <row r="6">
      <c r="A6" s="5" t="inlineStr">
        <is>
          <t>data_inizio</t>
        </is>
      </c>
      <c r="B6" s="5" t="inlineStr">
        <is>
          <t>Giorno successivo alla data_fine dell'ultima commessa dello stesso cliente+periodicità. Modificabile manualmente dall'utente</t>
        </is>
      </c>
      <c r="C6" s="5" t="inlineStr">
        <is>
          <t>Ultima fine 28/02 → inizio 01/03</t>
        </is>
      </c>
    </row>
    <row r="7">
      <c r="A7" s="6" t="inlineStr">
        <is>
          <t>data_fine</t>
        </is>
      </c>
      <c r="B7" s="6" t="inlineStr">
        <is>
          <t>(data_inizio + periodicità) − 1 giorno, aritmetica calendar-aware. La regola unica copre entrambi i casi: inizio il 1° → ultimo giorno del mese; inizio il 15 → 14 del mese successivo</t>
        </is>
      </c>
      <c r="C7" s="6" t="inlineStr">
        <is>
          <t>01/03→31/03 · 15/03→14/04 · 01/02→28/02</t>
        </is>
      </c>
    </row>
    <row r="8">
      <c r="A8" s="5" t="inlineStr">
        <is>
          <t>competenza</t>
        </is>
      </c>
      <c r="B8" s="5" t="inlineStr">
        <is>
          <t>Mese in cui cade la data_fine (mese di conclusione). NESSUN pro-rata tra i due mesi: semplificazione confermata | Oscillazione mensile delle ricorrenti a cavallo = artefatto di rilevazione (netta sui mesi adiacenti), non performance</t>
        </is>
      </c>
      <c r="C8" s="5" t="inlineStr">
        <is>
          <t>15/03–14/04 → competenza Aprile</t>
        </is>
      </c>
    </row>
    <row r="9">
      <c r="A9" s="6" t="inlineStr">
        <is>
          <t>periodicita</t>
        </is>
      </c>
      <c r="B9" s="6" t="inlineStr">
        <is>
          <t>Derivata dai progetti inclusi (devono condividere la periodicità)</t>
        </is>
      </c>
      <c r="C9" s="6" t="inlineStr">
        <is>
          <t>Mensile / bimestrale / ...</t>
        </is>
      </c>
    </row>
    <row r="11">
      <c r="A11" s="3" t="inlineStr">
        <is>
          <t>B) MARGINE DI CONTRIBUZIONE (vista a commessa APERTA)</t>
        </is>
      </c>
    </row>
    <row r="12">
      <c r="A12" s="4" t="inlineStr">
        <is>
          <t>Voce</t>
        </is>
      </c>
      <c r="B12" s="4" t="inlineStr">
        <is>
          <t>Composizione</t>
        </is>
      </c>
      <c r="C12" s="4" t="inlineStr">
        <is>
          <t>Fonte</t>
        </is>
      </c>
    </row>
    <row r="13">
      <c r="A13" s="6" t="inlineStr">
        <is>
          <t>+ Ricavi</t>
        </is>
      </c>
      <c r="B13" s="6" t="inlineStr">
        <is>
          <t>Commessa APERTA: Σ accordo economico (atteso). Commessa CHIUSA: Σ fatturato allocato (reale, Tab. F) | Siti (prezzo fisso multi-mese): ricavo competenza in quota LINEARE sui mesi; milestone = cassa</t>
        </is>
      </c>
      <c r="C13" s="6" t="inlineStr">
        <is>
          <t>Progetti / fatture allocate</t>
        </is>
      </c>
    </row>
    <row r="14">
      <c r="A14" s="5" t="inlineStr">
        <is>
          <t>− Costi diretti · Manodopera diretta</t>
        </is>
      </c>
      <c r="B14" s="5" t="inlineStr">
        <is>
          <t>M.O. interna allocata: dipendenti via timesheet + quota progettuale soci (RIPARTO PESATO sui progetti attivi nel periodo, chiave §4.6)</t>
        </is>
      </c>
      <c r="C14" s="5" t="inlineStr">
        <is>
          <t>Risorse / timesheet (fogli 1, 8)</t>
        </is>
      </c>
    </row>
    <row r="15">
      <c r="A15" s="6" t="inlineStr">
        <is>
          <t>− Costi diretti · Costi vivi</t>
        </is>
      </c>
      <c r="B15" s="6" t="inlineStr">
        <is>
          <t>Costi esterni e compensi collaboratori, da fatture passive imputate alla commessa</t>
        </is>
      </c>
      <c r="C15" s="6" t="inlineStr">
        <is>
          <t>movimenti origine=fattura (foglio 2)</t>
        </is>
      </c>
    </row>
    <row r="16">
      <c r="A16" s="5">
        <f> MARGINE DI CONTRIBUZIONE</f>
        <v/>
      </c>
      <c r="B16" s="5" t="inlineStr">
        <is>
          <t>Ricavi − costi diretti</t>
        </is>
      </c>
      <c r="C16" s="5" t="inlineStr">
        <is>
          <t>Calcolato (roll-up dai progetti)</t>
        </is>
      </c>
    </row>
    <row r="18">
      <c r="A18" s="3" t="inlineStr">
        <is>
          <t>C) CHIUSURA COMMESSA (attribuzione OVH)</t>
        </is>
      </c>
    </row>
    <row r="19">
      <c r="A19" s="4" t="inlineStr">
        <is>
          <t>Voce</t>
        </is>
      </c>
      <c r="B19" s="4" t="inlineStr">
        <is>
          <t>Regola</t>
        </is>
      </c>
      <c r="C19" s="4" t="inlineStr">
        <is>
          <t>Nota</t>
        </is>
      </c>
    </row>
    <row r="20">
      <c r="A20" s="5" t="inlineStr">
        <is>
          <t>Attribuzione OVH</t>
        </is>
      </c>
      <c r="B20" s="5" t="inlineStr">
        <is>
          <t>NORMAL COSTING: OVH caricato al COEFFICIENTE ROLLING (stimato mentre aperta, confermato sulla base reale a chiusura). Scarto vs overhead reale → varianza di assorbimento aziendale, non sulle commesse</t>
        </is>
      </c>
      <c r="C20" s="5" t="inlineStr">
        <is>
          <t>Commesse comparabili; la varianza resta a livello aziendale (segnale struttura-vs-delivery)</t>
        </is>
      </c>
    </row>
    <row r="21">
      <c r="A21" s="6">
        <f> Margine netto di commessa</f>
        <v/>
      </c>
      <c r="B21" s="6" t="inlineStr">
        <is>
          <t>MARGINE DI CONTRIBUZIONE − OVH (stimato o certificato)</t>
        </is>
      </c>
      <c r="C21" s="6" t="inlineStr">
        <is>
          <t>Margine a costo pieno</t>
        </is>
      </c>
    </row>
    <row r="22">
      <c r="A22" s="5" t="inlineStr">
        <is>
          <t>Base di ripartizione OVH</t>
        </is>
      </c>
      <c r="B22" s="5" t="inlineStr">
        <is>
          <t>RICAVI (accordo a commessa aperta, fatturato a chiusura). v1; upgrade a costo del lavoro diretto (v2)</t>
        </is>
      </c>
      <c r="C22" s="5" t="inlineStr">
        <is>
          <t>Non circolare né margine-penalizzante (a differenza del MdC). Coerente con la base-prezzo del preventivo</t>
        </is>
      </c>
    </row>
    <row r="23">
      <c r="A23" s="6" t="inlineStr">
        <is>
          <t>Stima OVH (commessa aperta)</t>
        </is>
      </c>
      <c r="B23" s="6" t="inlineStr">
        <is>
          <t>coefficiente rolling (overhead previsto ÷ base ricavi prevista, 12m avanti) × ricavi commessa</t>
        </is>
      </c>
      <c r="C23" s="6" t="inlineStr">
        <is>
          <t>Coefficiente ricalcolato a ogni chiusura dal forecast (§13.2); tetto allo scostamento tra refresh (storico giovane)</t>
        </is>
      </c>
    </row>
    <row r="24">
      <c r="A24" s="25" t="inlineStr">
        <is>
          <t>Varianza di assorbimento OVH</t>
        </is>
      </c>
      <c r="B24" t="inlineStr">
        <is>
          <t>overhead reale del periodo − overhead caricato (Σ coefficiente × basi)</t>
        </is>
      </c>
      <c r="C24" t="inlineStr">
        <is>
          <t>Riga AZIENDALE (sotto/sovra-assorbimento), non spalmata sulle commesse. Segnale struttura-vs-delivery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4" customWidth="1" min="4" max="4"/>
  </cols>
  <sheetData>
    <row r="1" ht="26" customHeight="1">
      <c r="A1" s="1" t="inlineStr">
        <is>
          <t>Tesoreria — logica (da 'Bite_Tesoreria_Brief_Sviluppo')</t>
        </is>
      </c>
    </row>
    <row r="2" ht="28" customHeight="1">
      <c r="A2" s="2" t="inlineStr">
        <is>
          <t>Layer sottile su FIC. Due output: posizione di cassa di oggi + previsione 60–90gg. Il brief .md resta il riferimento narrativo.</t>
        </is>
      </c>
    </row>
    <row r="4">
      <c r="A4" s="3" t="inlineStr">
        <is>
          <t>A) LE 5 SEZIONI E IL FLUSSO</t>
        </is>
      </c>
    </row>
    <row r="5">
      <c r="A5" s="4" t="inlineStr">
        <is>
          <t>Sezione</t>
        </is>
      </c>
      <c r="B5" s="4" t="inlineStr">
        <is>
          <t>Cosa fa</t>
        </is>
      </c>
      <c r="C5" s="4" t="inlineStr">
        <is>
          <t>Modello dati</t>
        </is>
      </c>
      <c r="D5" s="4" t="inlineStr">
        <is>
          <t>Note</t>
        </is>
      </c>
    </row>
    <row r="6">
      <c r="A6" s="5" t="inlineStr">
        <is>
          <t>Conti &amp; saldi</t>
        </is>
      </c>
      <c r="B6" s="5" t="inlineStr">
        <is>
          <t>Saldo banca vs saldo gestionale affiancati; differenza = sentinella</t>
        </is>
      </c>
      <c r="C6" s="5" t="inlineStr">
        <is>
          <t>Dimensione Conti (foglio 1)</t>
        </is>
      </c>
      <c r="D6" s="5" t="inlineStr">
        <is>
          <t>Sentinella → 0 a riconciliazione completa</t>
        </is>
      </c>
    </row>
    <row r="7">
      <c r="A7" s="6" t="inlineStr">
        <is>
          <t>Movimenti / e/c</t>
        </is>
      </c>
      <c r="B7" s="6" t="inlineStr">
        <is>
          <t>Righe importate (CBI/CSV); descrizione grezza immutabile + categoria (pattern) + flag esclusione</t>
        </is>
      </c>
      <c r="C7" s="6" t="inlineStr">
        <is>
          <t>Tabella movimenti (foglio 2)</t>
        </is>
      </c>
      <c r="D7" s="6" t="inlineStr">
        <is>
          <t>Import manuale, anteprima, dedup per impronta</t>
        </is>
      </c>
    </row>
    <row r="8">
      <c r="A8" s="5" t="inlineStr">
        <is>
          <t>Scadenzario</t>
        </is>
      </c>
      <c r="B8" s="5" t="inlineStr">
        <is>
          <t>Coda forward di incassi attesi e pagamenti dovuti</t>
        </is>
      </c>
      <c r="C8" s="5" t="inlineStr">
        <is>
          <t>Tabella scadenze + ricorrenze</t>
        </is>
      </c>
      <c r="D8" s="5" t="inlineStr">
        <is>
          <t>FIC (sola lettura) + ricorrenti che FIC non conosce</t>
        </is>
      </c>
    </row>
    <row r="9">
      <c r="A9" s="6" t="inlineStr">
        <is>
          <t>Riconciliazione</t>
        </is>
      </c>
      <c r="B9" s="6" t="inlineStr">
        <is>
          <t>Collega movimento ↔ scadenza/e e aggiorna gli stati a valle</t>
        </is>
      </c>
      <c r="C9" s="6" t="inlineStr">
        <is>
          <t>Tabella E riconciliazione (M:N)</t>
        </is>
      </c>
      <c r="D9" s="6" t="inlineStr">
        <is>
          <t>Il cuore del modulo</t>
        </is>
      </c>
    </row>
    <row r="10">
      <c r="A10" s="5" t="inlineStr">
        <is>
          <t>Previsione</t>
        </is>
      </c>
      <c r="B10" s="5" t="inlineStr">
        <is>
          <t>Dal saldo riconciliato di oggi proietta fino a 90gg</t>
        </is>
      </c>
      <c r="C10" s="5" t="inlineStr">
        <is>
          <t>Calcolo (non si archivia)</t>
        </is>
      </c>
      <c r="D10" s="5" t="inlineStr">
        <is>
          <t>Esito Disponibilità / Fabbisogno</t>
        </is>
      </c>
    </row>
    <row r="12">
      <c r="A12" s="3" t="inlineStr">
        <is>
          <t>B) IMPORT E/C E RICONCILIAZIONE</t>
        </is>
      </c>
    </row>
    <row r="13">
      <c r="A13" s="4" t="inlineStr">
        <is>
          <t>Elemento</t>
        </is>
      </c>
      <c r="B13" s="4" t="inlineStr">
        <is>
          <t>Logica</t>
        </is>
      </c>
      <c r="C13" s="4" t="inlineStr">
        <is>
          <t>Stato risultante</t>
        </is>
      </c>
      <c r="D13" s="4" t="inlineStr">
        <is>
          <t>Note</t>
        </is>
      </c>
    </row>
    <row r="14">
      <c r="A14" s="5" t="inlineStr">
        <is>
          <t>Import e/c</t>
        </is>
      </c>
      <c r="B14" s="5" t="inlineStr">
        <is>
          <t>Upload file → anteprima (nuovi vs duplicati + controllo saldo) → conferma</t>
        </is>
      </c>
      <c r="C14" s="5" t="inlineStr">
        <is>
          <t>Nuovi = 'da riconciliare'</t>
        </is>
      </c>
      <c r="D14" s="5" t="inlineStr">
        <is>
          <t>Mai scrivere senza anteprima; dedup per impronta</t>
        </is>
      </c>
    </row>
    <row r="15">
      <c r="A15" s="6" t="inlineStr">
        <is>
          <t>Match 1:1</t>
        </is>
      </c>
      <c r="B15" s="6" t="inlineStr">
        <is>
          <t>Incasso = una fattura aperta (importo, data, controparte) → proposto, utente conferma</t>
        </is>
      </c>
      <c r="C15" s="6" t="inlineStr">
        <is>
          <t>Scadenza chiusa</t>
        </is>
      </c>
      <c r="D15" s="6" t="inlineStr">
        <is>
          <t>Caso base</t>
        </is>
      </c>
    </row>
    <row r="16">
      <c r="A16" s="5" t="inlineStr">
        <is>
          <t>Parziale (Acconto)</t>
        </is>
      </c>
      <c r="B16" s="5" t="inlineStr">
        <is>
          <t>Incasso &lt; fattura: attribuito 'A', resta credito residuo</t>
        </is>
      </c>
      <c r="C16" s="5" t="inlineStr">
        <is>
          <t>Scadenza parziale, residuo aperto</t>
        </is>
      </c>
      <c r="D16" s="5" t="inlineStr">
        <is>
          <t>Nessun acconto senza fattura (Bite fattura sempre)</t>
        </is>
      </c>
    </row>
    <row r="17">
      <c r="A17" s="6" t="inlineStr">
        <is>
          <t>N:1</t>
        </is>
      </c>
      <c r="B17" s="6" t="inlineStr">
        <is>
          <t>Un bonifico salda più fatture stessa controparte (ricerca combinazione vincolata)</t>
        </is>
      </c>
      <c r="C17" s="6" t="inlineStr">
        <is>
          <t>N scadenze chiuse</t>
        </is>
      </c>
      <c r="D17" s="6" t="inlineStr">
        <is>
          <t>Implementabile in 2ª battuta</t>
        </is>
      </c>
    </row>
    <row r="18">
      <c r="A18" s="5" t="inlineStr">
        <is>
          <t>Lato passivo</t>
        </is>
      </c>
      <c r="B18" s="5" t="inlineStr">
        <is>
          <t>Simmetrico all'attivo: uscita ↔ fattura fornitore. Stesso motore, segno e fonte diversi</t>
        </is>
      </c>
      <c r="C18" s="5" t="inlineStr">
        <is>
          <t>Idem, lato passivo</t>
        </is>
      </c>
      <c r="D18" s="5" t="inlineStr">
        <is>
          <t>Costruire simmetrico da subito</t>
        </is>
      </c>
    </row>
    <row r="19">
      <c r="A19" s="6" t="inlineStr">
        <is>
          <t>Manuale (S/A)</t>
        </is>
      </c>
      <c r="B19" s="6" t="inlineStr">
        <is>
          <t>Se il match non scatta: associa a mano, S=Saldo / A=Acconto, mostra Pagato/Differenza</t>
        </is>
      </c>
      <c r="C19" s="6" t="inlineStr">
        <is>
          <t>Secondo S o A</t>
        </is>
      </c>
      <c r="D19" s="6" t="inlineStr">
        <is>
          <t>Replica il 'saldaconto'</t>
        </is>
      </c>
    </row>
    <row r="20">
      <c r="A20" s="5" t="inlineStr">
        <is>
          <t>Dissociazione</t>
        </is>
      </c>
      <c r="B20" s="5" t="inlineStr">
        <is>
          <t>Annulla: movimento → 'da riconciliare', riapre scadenze, ricalcola residui e sentinella</t>
        </is>
      </c>
      <c r="C20" s="5" t="inlineStr">
        <is>
          <t>Stato precedente ripristinato</t>
        </is>
      </c>
      <c r="D20" s="5" t="inlineStr">
        <is>
          <t>Sempre reversibile (invariante 8)</t>
        </is>
      </c>
    </row>
    <row r="21">
      <c r="A21" s="6" t="inlineStr">
        <is>
          <t>Insoluto / storno</t>
        </is>
      </c>
      <c r="B21" s="6" t="inlineStr">
        <is>
          <t>Incasso che torna indietro (movimento negativo) riapre una scadenza già chiusa</t>
        </is>
      </c>
      <c r="C21" s="6" t="inlineStr">
        <is>
          <t>Scadenza riaperta</t>
        </is>
      </c>
      <c r="D21" s="6" t="inlineStr">
        <is>
          <t>Caso limite §8</t>
        </is>
      </c>
    </row>
    <row r="23">
      <c r="A23" s="3" t="inlineStr">
        <is>
          <t>C) PREVISIONE DI CASSA</t>
        </is>
      </c>
    </row>
    <row r="24">
      <c r="A24" s="4" t="inlineStr">
        <is>
          <t>Componente</t>
        </is>
      </c>
      <c r="B24" s="4" t="inlineStr">
        <is>
          <t>Logica</t>
        </is>
      </c>
      <c r="C24" s="4" t="inlineStr">
        <is>
          <t>Parametro / nota</t>
        </is>
      </c>
      <c r="D24" s="4" t="inlineStr"/>
    </row>
    <row r="25">
      <c r="A25" s="6" t="inlineStr">
        <is>
          <t>Curva settimanale</t>
        </is>
      </c>
      <c r="B25" s="6" t="inlineStr">
        <is>
          <t>Da saldo riconciliato oggi ± flussi attesi, settimana per settimana fino a 90gg</t>
        </is>
      </c>
      <c r="C25" s="6" t="inlineStr">
        <is>
          <t>Indicatore = punto di minimo (settimana di tensione)</t>
        </is>
      </c>
      <c r="D25" s="6" t="inlineStr"/>
    </row>
    <row r="26">
      <c r="A26" s="5" t="inlineStr">
        <is>
          <t>Prospetto mensile</t>
        </is>
      </c>
      <c r="B26" s="5" t="inlineStr">
        <is>
          <t>Entrate/uscite per macro-voce, subtotali, Cash Flow Operativo, saldo progressivo</t>
        </is>
      </c>
      <c r="C26" s="5" t="inlineStr">
        <is>
          <t>Lettura strutturata; complementare alla curva</t>
        </is>
      </c>
      <c r="D26" s="5" t="inlineStr"/>
    </row>
    <row r="27">
      <c r="A27" s="6" t="inlineStr">
        <is>
          <t>Consuntivo + scostamento</t>
        </is>
      </c>
      <c r="B27" s="6" t="inlineStr">
        <is>
          <t>Realizzato (riconciliato) accanto al previsto; scostamento = consuntivo − previsto</t>
        </is>
      </c>
      <c r="C27" s="6" t="inlineStr">
        <is>
          <t>Loop previsto-vs-consuntivo = accuratezza</t>
        </is>
      </c>
      <c r="D27" s="6" t="inlineStr"/>
    </row>
    <row r="28">
      <c r="A28" s="5" t="inlineStr">
        <is>
          <t>Correzione DSO</t>
        </is>
      </c>
      <c r="B28" s="5" t="inlineStr">
        <is>
          <t>Sposta gli incassi attesi secondo la puntualità reale del cliente</t>
        </is>
      </c>
      <c r="C28" s="5" t="inlineStr">
        <is>
          <t>DSO arriva dal modulo Fatture attive</t>
        </is>
      </c>
      <c r="D28" s="5" t="inlineStr"/>
    </row>
    <row r="29">
      <c r="A29" s="6" t="inlineStr">
        <is>
          <t>Uscite proiettate</t>
        </is>
      </c>
      <c r="B29" s="6" t="inlineStr">
        <is>
          <t>Stipendi/contributi futuri non esistono in FIC ma sono certi: generati in avanti</t>
        </is>
      </c>
      <c r="C29" s="6" t="inlineStr">
        <is>
          <t>Dal motore ricorrenti</t>
        </is>
      </c>
      <c r="D29" s="6" t="inlineStr"/>
    </row>
    <row r="30">
      <c r="A30" s="5" t="inlineStr">
        <is>
          <t>Forza importo</t>
        </is>
      </c>
      <c r="B30" s="5" t="inlineStr">
        <is>
          <t>Override manuale di una voce con ricalcolo della curva</t>
        </is>
      </c>
      <c r="C30" s="5" t="inlineStr">
        <is>
          <t>Strumento di decisione, non automatismo</t>
        </is>
      </c>
      <c r="D30" s="5" t="inlineStr"/>
    </row>
    <row r="31">
      <c r="A31" s="6" t="inlineStr">
        <is>
          <t>IVA per cassa</t>
        </is>
      </c>
      <c r="B31" s="6" t="inlineStr">
        <is>
          <t>Regime IVA per cassa CONFERMATO → liquidazione reale (non stima): debito all'incasso, credito al pagamento; liquidazione = debito − credito</t>
        </is>
      </c>
      <c r="C31" s="6" t="inlineStr">
        <is>
          <t>Periodicità parametrica, default TRIMESTRALE 2026</t>
        </is>
      </c>
      <c r="D31" s="6" t="inlineStr"/>
    </row>
    <row r="32">
      <c r="A32" s="5" t="inlineStr">
        <is>
          <t>Soglia &amp; alert</t>
        </is>
      </c>
      <c r="B32" s="5" t="inlineStr">
        <is>
          <t>Cuscinetto minimo parametrico; sotto soglia → notifica</t>
        </is>
      </c>
      <c r="C32" s="5" t="inlineStr">
        <is>
          <t>La notifica è la parte azionabile</t>
        </is>
      </c>
      <c r="D32" s="5" t="inlineStr"/>
    </row>
    <row r="33">
      <c r="A33" s="6" t="inlineStr">
        <is>
          <t>Motore ricorrenti</t>
        </is>
      </c>
      <c r="B33" s="6" t="inlineStr">
        <is>
          <t>Anagrafica (importo+cadenza+categoria) → genera occorrenze in avanti; one-off a mano</t>
        </is>
      </c>
      <c r="C33" s="6" t="inlineStr">
        <is>
          <t>Definizione separata dalla proiezione</t>
        </is>
      </c>
      <c r="D33" s="6" t="inlineStr"/>
    </row>
    <row r="35">
      <c r="A35" s="3" t="inlineStr">
        <is>
          <t>D) ESCLUSIONI DALLA CASSA NETTA (invariante 4)</t>
        </is>
      </c>
    </row>
    <row r="36">
      <c r="A36" s="4" t="inlineStr">
        <is>
          <t>Tipo</t>
        </is>
      </c>
      <c r="B36" s="4" t="inlineStr">
        <is>
          <t>Descrizione</t>
        </is>
      </c>
      <c r="C36" s="4" t="inlineStr">
        <is>
          <t>Trattamento</t>
        </is>
      </c>
      <c r="D36" s="4" t="inlineStr"/>
    </row>
    <row r="37">
      <c r="A37" s="6" t="inlineStr">
        <is>
          <t>Giroconti</t>
        </is>
      </c>
      <c r="B37" s="6" t="inlineStr">
        <is>
          <t>Trasferimenti tra Intesa e Credem</t>
        </is>
      </c>
      <c r="C37" s="6" t="inlineStr">
        <is>
          <t>Fuori da saldi e margini</t>
        </is>
      </c>
      <c r="D37" s="6" t="inlineStr"/>
    </row>
    <row r="38">
      <c r="A38" s="5" t="inlineStr">
        <is>
          <t>Partite di giro soci</t>
        </is>
      </c>
      <c r="B38" s="5" t="inlineStr">
        <is>
          <t>Es. SICAV in transito</t>
        </is>
      </c>
      <c r="C38" s="5" t="inlineStr">
        <is>
          <t>Fuori da cassa netta</t>
        </is>
      </c>
      <c r="D38" s="5" t="inlineStr"/>
    </row>
    <row r="39">
      <c r="A39" s="6" t="inlineStr">
        <is>
          <t>Pass-through Italfer</t>
        </is>
      </c>
      <c r="B39" s="6" t="inlineStr">
        <is>
          <t>Movimenti che transitano ma non sono di Bite</t>
        </is>
      </c>
      <c r="C39" s="6" t="inlineStr">
        <is>
          <t>Fuori da cassa netta</t>
        </is>
      </c>
      <c r="D39" s="6" t="inlineStr"/>
    </row>
    <row r="41">
      <c r="A41" s="25" t="inlineStr">
        <is>
          <t>Lock competenza vs cassa</t>
        </is>
      </c>
      <c r="B41" t="inlineStr">
        <is>
          <t>Il lock di competenza (§13.6) non chiude la cassa</t>
        </is>
      </c>
      <c r="C41" t="inlineStr">
        <is>
          <t>—</t>
        </is>
      </c>
      <c r="D41" t="inlineStr">
        <is>
          <t>Un e/c tardivo con data_cassa in un mese economicamente chiuso si riconcilia comunque: verità di cassa = banca</t>
        </is>
      </c>
    </row>
    <row r="43">
      <c r="A43" s="25" t="inlineStr">
        <is>
          <t>Orizzonte previsione</t>
        </is>
      </c>
      <c r="B43" t="inlineStr">
        <is>
          <t>90gg settimanale (tensione) + 12m mensile (solvibilità)</t>
        </is>
      </c>
      <c r="C43" t="inlineStr">
        <is>
          <t>parametrico</t>
        </is>
      </c>
      <c r="D43" t="inlineStr">
        <is>
          <t>Stesso motore. 12m: ricorrenti + scadenze fiscali + ricavi forecast via DSO/DPO; a bande certo/previsto; alert su minimo 12m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50" customWidth="1" min="4" max="4"/>
  </cols>
  <sheetData>
    <row r="1" ht="26" customHeight="1">
      <c r="A1" s="1" t="inlineStr">
        <is>
          <t>Fatture attive (da Fatture in Cloud) — campi tenuti / scartati</t>
        </is>
      </c>
    </row>
    <row r="2" ht="28" customHeight="1">
      <c r="A2" s="2" t="inlineStr">
        <is>
          <t>FIC sola lettura. Alimentano scadenze attive, IVA per cassa e ricavi di commessa.</t>
        </is>
      </c>
    </row>
    <row r="4">
      <c r="A4" s="4" t="inlineStr">
        <is>
          <t>Campo / Voce</t>
        </is>
      </c>
      <c r="B4" s="4" t="inlineStr">
        <is>
          <t>Tipo · Formula</t>
        </is>
      </c>
      <c r="C4" s="4" t="inlineStr">
        <is>
          <t>Tenere</t>
        </is>
      </c>
      <c r="D4" s="4" t="inlineStr">
        <is>
          <t>Note</t>
        </is>
      </c>
    </row>
    <row r="5" ht="18" customHeight="1">
      <c r="A5" s="12" t="inlineStr">
        <is>
          <t>CAMPI CHE FIC PUSHA — decisione tenere / scartare</t>
        </is>
      </c>
      <c r="B5" s="17" t="n"/>
      <c r="C5" s="17" t="n"/>
      <c r="D5" s="18" t="n"/>
    </row>
    <row r="6">
      <c r="A6" s="5" t="inlineStr">
        <is>
          <t>Data</t>
        </is>
      </c>
      <c r="B6" s="5" t="inlineStr">
        <is>
          <t>date</t>
        </is>
      </c>
      <c r="C6" s="5" t="inlineStr">
        <is>
          <t>Sì</t>
        </is>
      </c>
      <c r="D6" s="5" t="inlineStr">
        <is>
          <t>Data emissione</t>
        </is>
      </c>
    </row>
    <row r="7">
      <c r="A7" s="6" t="inlineStr">
        <is>
          <t>Prox scadenza</t>
        </is>
      </c>
      <c r="B7" s="6" t="inlineStr">
        <is>
          <t>date</t>
        </is>
      </c>
      <c r="C7" s="6" t="inlineStr">
        <is>
          <t>Sì</t>
        </is>
      </c>
      <c r="D7" s="6" t="inlineStr">
        <is>
          <t>Scadenza da termini. BASE consigliata per la data incasso attesa (vedi sotto)</t>
        </is>
      </c>
    </row>
    <row r="8">
      <c r="A8" s="5" t="inlineStr">
        <is>
          <t>Documento</t>
        </is>
      </c>
      <c r="B8" s="5" t="inlineStr">
        <is>
          <t>enum</t>
        </is>
      </c>
      <c r="C8" s="5" t="inlineStr">
        <is>
          <t>Sì</t>
        </is>
      </c>
      <c r="D8" s="5" t="inlineStr">
        <is>
          <t>Tipo: fattura / nota di credito. Serve per il segno e il caso nota di credito (brief §8)</t>
        </is>
      </c>
    </row>
    <row r="9">
      <c r="A9" s="6" t="inlineStr">
        <is>
          <t>Numero</t>
        </is>
      </c>
      <c r="B9" s="6" t="inlineStr">
        <is>
          <t>string</t>
        </is>
      </c>
      <c r="C9" s="6" t="inlineStr">
        <is>
          <t>Sì</t>
        </is>
      </c>
      <c r="D9" s="6" t="inlineStr">
        <is>
          <t>Automatico e progressivo. ATTENZIONE: la numerazione si azzera ogni anno → chiave = Numero + anno (o id fattura FIC)</t>
        </is>
      </c>
    </row>
    <row r="10">
      <c r="A10" s="5" t="inlineStr">
        <is>
          <t>Serie</t>
        </is>
      </c>
      <c r="B10" s="5" t="inlineStr">
        <is>
          <t>string</t>
        </is>
      </c>
      <c r="C10" s="5" t="inlineStr">
        <is>
          <t>No</t>
        </is>
      </c>
      <c r="D10" s="5" t="inlineStr">
        <is>
          <t>Non utilizzata da Bite</t>
        </is>
      </c>
    </row>
    <row r="11">
      <c r="A11" s="6" t="inlineStr">
        <is>
          <t>Saldato</t>
        </is>
      </c>
      <c r="B11" s="6" t="inlineStr">
        <is>
          <t>bool</t>
        </is>
      </c>
      <c r="C11" s="6" t="inlineStr">
        <is>
          <t>Sì</t>
        </is>
      </c>
      <c r="D11" s="6" t="inlineStr">
        <is>
          <t>Stato FIC informativo. Verità sull'incasso = NOSTRA riconciliazione (confermato; brief §4.1)</t>
        </is>
      </c>
    </row>
    <row r="12">
      <c r="A12" s="5" t="inlineStr">
        <is>
          <t>Centro ricavo</t>
        </is>
      </c>
      <c r="B12" s="5" t="inlineStr">
        <is>
          <t>string</t>
        </is>
      </c>
      <c r="C12" s="5" t="inlineStr">
        <is>
          <t>No</t>
        </is>
      </c>
      <c r="D12" s="5" t="inlineStr">
        <is>
          <t>Scelta: NON si usa. Il legame fattura→commessa è link manuale in ERP (vedi sotto)</t>
        </is>
      </c>
    </row>
    <row r="13">
      <c r="A13" s="6" t="inlineStr">
        <is>
          <t>Cliente</t>
        </is>
      </c>
      <c r="B13" s="6" t="inlineStr">
        <is>
          <t>FK Clienti</t>
        </is>
      </c>
      <c r="C13" s="6" t="inlineStr">
        <is>
          <t>Sì</t>
        </is>
      </c>
      <c r="D13" s="6" t="inlineStr"/>
    </row>
    <row r="14">
      <c r="A14" s="5" t="inlineStr">
        <is>
          <t>Imponibile</t>
        </is>
      </c>
      <c r="B14" s="5" t="inlineStr">
        <is>
          <t>decimal €</t>
        </is>
      </c>
      <c r="C14" s="5" t="inlineStr">
        <is>
          <t>Sì</t>
        </is>
      </c>
      <c r="D14" s="5" t="inlineStr">
        <is>
          <t>Base per IVA per cassa</t>
        </is>
      </c>
    </row>
    <row r="15">
      <c r="A15" s="6" t="inlineStr">
        <is>
          <t>IVA</t>
        </is>
      </c>
      <c r="B15" s="6" t="inlineStr">
        <is>
          <t>decimal €</t>
        </is>
      </c>
      <c r="C15" s="6" t="inlineStr">
        <is>
          <t>Sì</t>
        </is>
      </c>
      <c r="D15" s="6" t="inlineStr">
        <is>
          <t>Per la liquidazione IVA per cassa</t>
        </is>
      </c>
    </row>
    <row r="16">
      <c r="A16" s="5" t="inlineStr">
        <is>
          <t>Lordo</t>
        </is>
      </c>
      <c r="B16" s="5" t="inlineStr">
        <is>
          <t>decimal €</t>
        </is>
      </c>
      <c r="C16" s="5" t="inlineStr">
        <is>
          <t>Sì</t>
        </is>
      </c>
      <c r="D16" s="5" t="inlineStr">
        <is>
          <t>Totale fattura = imponibile + IVA = importo da incassare</t>
        </is>
      </c>
    </row>
    <row r="17">
      <c r="A17" s="6" t="inlineStr">
        <is>
          <t>Cassa / Rivalsa / Rit. acconto / Rit. prev.</t>
        </is>
      </c>
      <c r="B17" s="6" t="inlineStr">
        <is>
          <t>decimal €</t>
        </is>
      </c>
      <c r="C17" s="6" t="inlineStr">
        <is>
          <t>No</t>
        </is>
      </c>
      <c r="D17" s="6" t="inlineStr">
        <is>
          <t>CONFERMATO non utilizzate: società, fattura = imponibile + IVA. Quindi Lordo = importo da incassare</t>
        </is>
      </c>
    </row>
    <row r="18">
      <c r="A18" s="5" t="inlineStr">
        <is>
          <t>Oggetto (interno / visibile)</t>
        </is>
      </c>
      <c r="B18" s="5" t="inlineStr">
        <is>
          <t>string</t>
        </is>
      </c>
      <c r="C18" s="5" t="inlineStr">
        <is>
          <t>Opzionale</t>
        </is>
      </c>
      <c r="D18" s="5" t="inlineStr">
        <is>
          <t>Utile in riconciliazione per riconoscere la causale</t>
        </is>
      </c>
    </row>
    <row r="19">
      <c r="A19" s="6" t="inlineStr">
        <is>
          <t>Indirizzo / Comune / Prov / CAP / Paese</t>
        </is>
      </c>
      <c r="B19" s="6" t="inlineStr">
        <is>
          <t>—</t>
        </is>
      </c>
      <c r="C19" s="6" t="inlineStr">
        <is>
          <t>No</t>
        </is>
      </c>
      <c r="D19" s="6" t="inlineStr">
        <is>
          <t>Ridondante: già nell'anagrafica Cliente</t>
        </is>
      </c>
    </row>
    <row r="20">
      <c r="A20" s="5" t="inlineStr">
        <is>
          <t>P.IVA / CF</t>
        </is>
      </c>
      <c r="B20" s="5" t="inlineStr">
        <is>
          <t>—</t>
        </is>
      </c>
      <c r="C20" s="5" t="inlineStr">
        <is>
          <t>No</t>
        </is>
      </c>
      <c r="D20" s="5" t="inlineStr">
        <is>
          <t>Ridondante: anagrafica Cliente</t>
        </is>
      </c>
    </row>
    <row r="21">
      <c r="A21" s="6" t="inlineStr">
        <is>
          <t>Valuta orig.</t>
        </is>
      </c>
      <c r="B21" s="6" t="inlineStr">
        <is>
          <t>—</t>
        </is>
      </c>
      <c r="C21" s="6" t="inlineStr">
        <is>
          <t>No</t>
        </is>
      </c>
      <c r="D21" s="6" t="inlineStr">
        <is>
          <t>Multi-valuta fuori scope (brief §12)</t>
        </is>
      </c>
    </row>
    <row r="22">
      <c r="A22" s="5" t="inlineStr">
        <is>
          <t>Contrassegnato</t>
        </is>
      </c>
      <c r="B22" s="5" t="inlineStr">
        <is>
          <t>—</t>
        </is>
      </c>
      <c r="C22" s="5" t="inlineStr">
        <is>
          <t>No</t>
        </is>
      </c>
      <c r="D22" s="5" t="inlineStr">
        <is>
          <t>Flag FIC non rilevante</t>
        </is>
      </c>
    </row>
    <row r="23" ht="18" customHeight="1">
      <c r="A23" s="12" t="inlineStr">
        <is>
          <t>CAMPI AGGIUNTI / CALCOLATI (gestiti dall'ERP)</t>
        </is>
      </c>
      <c r="B23" s="17" t="n"/>
      <c r="C23" s="17" t="n"/>
      <c r="D23" s="18" t="n"/>
    </row>
    <row r="24">
      <c r="A24" s="5" t="inlineStr">
        <is>
          <t>importo_da_incassare</t>
        </is>
      </c>
      <c r="B24" s="5">
        <f> Lordo</f>
        <v/>
      </c>
      <c r="C24" s="5" t="inlineStr">
        <is>
          <t>Sì</t>
        </is>
      </c>
      <c r="D24" s="5" t="inlineStr">
        <is>
          <t>Nessuna ritenuta → coincide con Lordo. Importo usato in scadenze e riconciliazione</t>
        </is>
      </c>
    </row>
    <row r="25">
      <c r="A25" s="6" t="inlineStr">
        <is>
          <t>data_incasso_attesa</t>
        </is>
      </c>
      <c r="B25" s="6" t="inlineStr">
        <is>
          <t>CALCOLATO</t>
        </is>
      </c>
      <c r="C25" s="6" t="inlineStr">
        <is>
          <t>Sì</t>
        </is>
      </c>
      <c r="D25" s="6" t="inlineStr">
        <is>
          <t>Vedi metodo qui sotto</t>
        </is>
      </c>
    </row>
    <row r="26">
      <c r="A26" s="5" t="inlineStr">
        <is>
          <t>commesse[ ] (link manuale)</t>
        </is>
      </c>
      <c r="B26" s="5" t="inlineStr">
        <is>
          <t>relazione N:N</t>
        </is>
      </c>
      <c r="C26" s="5" t="inlineStr">
        <is>
          <t>Sì</t>
        </is>
      </c>
      <c r="D26" s="5" t="inlineStr">
        <is>
          <t>RICONCILIAZIONE FATTURA↔COMMESSA: l'utente associa la fattura alle commesse del cliente allocando l'importo. Σ allocato = imponibile fattura. Tab. fattura_commessa (foglio 2)</t>
        </is>
      </c>
    </row>
    <row r="27" ht="18" customHeight="1">
      <c r="A27" s="12" t="inlineStr">
        <is>
          <t>DATA INCASSO ATTESA — metodo scelto</t>
        </is>
      </c>
      <c r="B27" s="17" t="n"/>
      <c r="C27" s="17" t="n"/>
      <c r="D27" s="18" t="n"/>
    </row>
    <row r="28">
      <c r="A28" s="5" t="inlineStr">
        <is>
          <t>Formula (scelta)</t>
        </is>
      </c>
      <c r="B28" s="5" t="inlineStr">
        <is>
          <t>data fattura + DSO comportamentale cliente (fallback DSO medio aziendale)</t>
        </is>
      </c>
      <c r="C28" s="5" t="inlineStr">
        <is>
          <t>✓</t>
        </is>
      </c>
      <c r="D28" s="5" t="inlineStr">
        <is>
          <t>OK: Bite emette fatture immediate, la data fattura è affidabile</t>
        </is>
      </c>
    </row>
    <row r="29">
      <c r="A29" s="6" t="inlineStr">
        <is>
          <t>Vincolo di coerenza</t>
        </is>
      </c>
      <c r="B29" s="6" t="inlineStr">
        <is>
          <t>il DSO va misurato DA DATA FATTURA (non da scadenza)</t>
        </is>
      </c>
      <c r="C29" s="6" t="inlineStr"/>
      <c r="D29" s="6" t="inlineStr">
        <is>
          <t>Così la formula è self-consistent (DSO incorpora termini + ritardo)</t>
        </is>
      </c>
    </row>
    <row r="30">
      <c r="A30" s="5" t="inlineStr">
        <is>
          <t>Caveat Ri.Ba / termini misti</t>
        </is>
      </c>
      <c r="B30" s="5" t="inlineStr">
        <is>
          <t>per clienti con Ri.Ba o termini diversi tra fatture, usare la Prox scadenza come correttivo</t>
        </is>
      </c>
      <c r="C30" s="5" t="inlineStr"/>
      <c r="D30" s="5" t="inlineStr">
        <is>
          <t>Su quei clienti un DSO unico mescola termini diversi e perde precisione; Prox scadenza resta disponibile</t>
        </is>
      </c>
    </row>
  </sheetData>
  <mergeCells count="5">
    <mergeCell ref="A1:D1"/>
    <mergeCell ref="A23:D23"/>
    <mergeCell ref="A5:D5"/>
    <mergeCell ref="A27:D27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50" customWidth="1" min="4" max="4"/>
  </cols>
  <sheetData>
    <row r="1" ht="26" customHeight="1">
      <c r="A1" s="1" t="inlineStr">
        <is>
          <t>Fatture passive (da Fatture in Cloud) — campi tenuti / scartati</t>
        </is>
      </c>
    </row>
    <row r="2" ht="28" customHeight="1">
      <c r="A2" s="2" t="inlineStr">
        <is>
          <t>Speculari alle attive. Alimentano scadenze passive, IVA a credito (per cassa) e costi vivi di commessa.</t>
        </is>
      </c>
    </row>
    <row r="4">
      <c r="A4" s="4" t="inlineStr">
        <is>
          <t>Campo / Voce</t>
        </is>
      </c>
      <c r="B4" s="4" t="inlineStr">
        <is>
          <t>Tipo · Formula</t>
        </is>
      </c>
      <c r="C4" s="4" t="inlineStr">
        <is>
          <t>Tenere</t>
        </is>
      </c>
      <c r="D4" s="4" t="inlineStr">
        <is>
          <t>Note</t>
        </is>
      </c>
    </row>
    <row r="5" ht="18" customHeight="1">
      <c r="A5" s="12" t="inlineStr">
        <is>
          <t>A) CAMPI CHE FIC PUSHA — decisione tenere / scartare</t>
        </is>
      </c>
      <c r="B5" s="17" t="n"/>
      <c r="C5" s="17" t="n"/>
      <c r="D5" s="18" t="n"/>
    </row>
    <row r="6">
      <c r="A6" s="5" t="inlineStr">
        <is>
          <t>Data</t>
        </is>
      </c>
      <c r="B6" s="5" t="inlineStr">
        <is>
          <t>date</t>
        </is>
      </c>
      <c r="C6" s="5" t="inlineStr">
        <is>
          <t>Sì</t>
        </is>
      </c>
      <c r="D6" s="5" t="inlineStr">
        <is>
          <t>Data emissione. Competenza CE + base scadenza</t>
        </is>
      </c>
    </row>
    <row r="7">
      <c r="A7" s="6" t="inlineStr">
        <is>
          <t>Prox scadenza</t>
        </is>
      </c>
      <c r="B7" s="6" t="inlineStr">
        <is>
          <t>date</t>
        </is>
      </c>
      <c r="C7" s="6" t="inlineStr">
        <is>
          <t>Sì</t>
        </is>
      </c>
      <c r="D7" s="6" t="inlineStr">
        <is>
          <t>Scadenza pagamento → data_pagamento_attesa</t>
        </is>
      </c>
    </row>
    <row r="8">
      <c r="A8" s="5" t="inlineStr">
        <is>
          <t>Nr. acquisto</t>
        </is>
      </c>
      <c r="B8" s="5" t="inlineStr">
        <is>
          <t>string</t>
        </is>
      </c>
      <c r="C8" s="5" t="inlineStr">
        <is>
          <t>Sì</t>
        </is>
      </c>
      <c r="D8" s="5" t="inlineStr">
        <is>
          <t>Protocollo/numero acquisto FIC: identificativo STABILE della passiva (meglio del numero fornitore)</t>
        </is>
      </c>
    </row>
    <row r="9">
      <c r="A9" s="6" t="inlineStr">
        <is>
          <t>Ft elettronica</t>
        </is>
      </c>
      <c r="B9" s="6" t="inlineStr">
        <is>
          <t>bool</t>
        </is>
      </c>
      <c r="C9" s="6" t="inlineStr">
        <is>
          <t>Sì</t>
        </is>
      </c>
      <c r="D9" s="6" t="inlineStr">
        <is>
          <t>Flag SDI: solo le elettroniche entrano nel meccanismo IVA per cassa (brief §6.4)</t>
        </is>
      </c>
    </row>
    <row r="10">
      <c r="A10" s="5" t="inlineStr">
        <is>
          <t>Data ricezione FE</t>
        </is>
      </c>
      <c r="B10" s="5" t="inlineStr">
        <is>
          <t>date</t>
        </is>
      </c>
      <c r="C10" s="5" t="inlineStr">
        <is>
          <t>Sì (utile)</t>
        </is>
      </c>
      <c r="D10" s="5" t="inlineStr">
        <is>
          <t>Data ricezione e-fattura: rileva per registrazione IVA e competenza del costo</t>
        </is>
      </c>
    </row>
    <row r="11">
      <c r="A11" s="6" t="inlineStr">
        <is>
          <t>Centro costo</t>
        </is>
      </c>
      <c r="B11" s="6" t="inlineStr">
        <is>
          <t>string</t>
        </is>
      </c>
      <c r="C11" s="6" t="inlineStr">
        <is>
          <t>Sì (se usato)</t>
        </is>
      </c>
      <c r="D11" s="6" t="inlineStr">
        <is>
          <t>Mappa al nostro Centro di costo. DA CONFERMARE se lo compilate in FIC (come il Centro ricavo, potrebbe essere inutilizzato)</t>
        </is>
      </c>
    </row>
    <row r="12">
      <c r="A12" s="5" t="inlineStr">
        <is>
          <t>Categoria</t>
        </is>
      </c>
      <c r="B12" s="5" t="inlineStr">
        <is>
          <t>string</t>
        </is>
      </c>
      <c r="C12" s="5" t="inlineStr">
        <is>
          <t>Sì (input)</t>
        </is>
      </c>
      <c r="D12" s="5" t="inlineStr">
        <is>
          <t>Categoria FIC: semina la categorizzazione gestionale. Serve mapping FIC→categoria gestionale (possono non coincidere)</t>
        </is>
      </c>
    </row>
    <row r="13">
      <c r="A13" s="6" t="inlineStr">
        <is>
          <t>Fornitore</t>
        </is>
      </c>
      <c r="B13" s="6" t="inlineStr">
        <is>
          <t>FK Fornitori</t>
        </is>
      </c>
      <c r="C13" s="6" t="inlineStr">
        <is>
          <t>Sì</t>
        </is>
      </c>
      <c r="D13" s="6" t="inlineStr">
        <is>
          <t>Da qui anche is_collaboratore / regime / soggetto_ritenuta</t>
        </is>
      </c>
    </row>
    <row r="14">
      <c r="A14" s="5" t="inlineStr">
        <is>
          <t>Imponibile</t>
        </is>
      </c>
      <c r="B14" s="5" t="inlineStr">
        <is>
          <t>decimal €</t>
        </is>
      </c>
      <c r="C14" s="5" t="inlineStr">
        <is>
          <t>Sì</t>
        </is>
      </c>
      <c r="D14" s="5" t="inlineStr">
        <is>
          <t>Costo (CE) + base IVA</t>
        </is>
      </c>
    </row>
    <row r="15">
      <c r="A15" s="6" t="inlineStr">
        <is>
          <t>IVA</t>
        </is>
      </c>
      <c r="B15" s="6" t="inlineStr">
        <is>
          <t>decimal €</t>
        </is>
      </c>
      <c r="C15" s="6" t="inlineStr">
        <is>
          <t>Sì</t>
        </is>
      </c>
      <c r="D15" s="6" t="inlineStr">
        <is>
          <t>Lorda; il credito reale = IVA × Detraibilità</t>
        </is>
      </c>
    </row>
    <row r="16">
      <c r="A16" s="5" t="inlineStr">
        <is>
          <t>Rit. acconto</t>
        </is>
      </c>
      <c r="B16" s="5" t="inlineStr">
        <is>
          <t>decimal €</t>
        </is>
      </c>
      <c r="C16" s="5" t="inlineStr">
        <is>
          <t>Sì</t>
        </is>
      </c>
      <c r="D16" s="5" t="inlineStr">
        <is>
          <t>Ritenuta fiscale: F24 + CU; riduce il pagato al fornitore</t>
        </is>
      </c>
    </row>
    <row r="17">
      <c r="A17" s="6" t="inlineStr">
        <is>
          <t>Rit. prev.</t>
        </is>
      </c>
      <c r="B17" s="6" t="inlineStr">
        <is>
          <t>decimal €</t>
        </is>
      </c>
      <c r="C17" s="6" t="inlineStr">
        <is>
          <t>Sì</t>
        </is>
      </c>
      <c r="D17" s="6" t="inlineStr">
        <is>
          <t>Ritenuta previdenziale (INPS): gestione analoga, voce contributiva</t>
        </is>
      </c>
    </row>
    <row r="18">
      <c r="A18" s="5" t="inlineStr">
        <is>
          <t>Deducibilità</t>
        </is>
      </c>
      <c r="B18" s="5" t="inlineStr">
        <is>
          <t>% / €</t>
        </is>
      </c>
      <c r="C18" s="5" t="inlineStr">
        <is>
          <t>Sì</t>
        </is>
      </c>
      <c r="D18" s="5" t="inlineStr">
        <is>
          <t>FORNITA DA FIC → usare questa, non il default di categoria. Alimenta le IMPOSTE previste, NON il CE gestionale (che è a costo pieno)</t>
        </is>
      </c>
    </row>
    <row r="19">
      <c r="A19" s="6" t="inlineStr">
        <is>
          <t>Detraibilità</t>
        </is>
      </c>
      <c r="B19" s="6" t="inlineStr">
        <is>
          <t>% / €</t>
        </is>
      </c>
      <c r="C19" s="6" t="inlineStr">
        <is>
          <t>Sì</t>
        </is>
      </c>
      <c r="D19" s="6" t="inlineStr">
        <is>
          <t>FORNITA DA FIC → usare questa per l'IVA a credito, non il default di categoria</t>
        </is>
      </c>
    </row>
    <row r="20">
      <c r="A20" s="5" t="inlineStr">
        <is>
          <t>Descrizione</t>
        </is>
      </c>
      <c r="B20" s="5" t="inlineStr">
        <is>
          <t>string</t>
        </is>
      </c>
      <c r="C20" s="5" t="inlineStr">
        <is>
          <t>Opzionale</t>
        </is>
      </c>
      <c r="D20" s="5" t="inlineStr">
        <is>
          <t>Utile in riconciliazione per riconoscere la causale</t>
        </is>
      </c>
    </row>
    <row r="21">
      <c r="A21" s="6" t="inlineStr">
        <is>
          <t>P.IVA / CF / Indirizzo / Comune / Prov / CAP / Indir. extra / Paese</t>
        </is>
      </c>
      <c r="B21" s="6" t="inlineStr">
        <is>
          <t>—</t>
        </is>
      </c>
      <c r="C21" s="6" t="inlineStr">
        <is>
          <t>No</t>
        </is>
      </c>
      <c r="D21" s="6" t="inlineStr">
        <is>
          <t>Ridondante: tutto in anagrafica Fornitore</t>
        </is>
      </c>
    </row>
    <row r="22">
      <c r="A22" s="5" t="inlineStr">
        <is>
          <t>Valuta orig.</t>
        </is>
      </c>
      <c r="B22" s="5" t="inlineStr">
        <is>
          <t>—</t>
        </is>
      </c>
      <c r="C22" s="5" t="inlineStr">
        <is>
          <t>No</t>
        </is>
      </c>
      <c r="D22" s="5" t="inlineStr">
        <is>
          <t>Multi-valuta fuori scope (brief §12)</t>
        </is>
      </c>
    </row>
    <row r="23">
      <c r="A23" s="6" t="inlineStr">
        <is>
          <t>Contrassegnato</t>
        </is>
      </c>
      <c r="B23" s="6" t="inlineStr">
        <is>
          <t>—</t>
        </is>
      </c>
      <c r="C23" s="6" t="inlineStr">
        <is>
          <t>No</t>
        </is>
      </c>
      <c r="D23" s="6" t="inlineStr">
        <is>
          <t>Flag FIC non rilevante</t>
        </is>
      </c>
    </row>
    <row r="24" ht="18" customHeight="1">
      <c r="A24" s="12" t="inlineStr">
        <is>
          <t>CAMPI CALCOLATI (ERP) — nota: FIC NON pusha 'Lordo' per le passive</t>
        </is>
      </c>
      <c r="B24" s="17" t="n"/>
      <c r="C24" s="17" t="n"/>
      <c r="D24" s="18" t="n"/>
    </row>
    <row r="25">
      <c r="A25" s="6" t="inlineStr">
        <is>
          <t>totale_documento</t>
        </is>
      </c>
      <c r="B25" s="6">
        <f> Imponibile + IVA</f>
        <v/>
      </c>
      <c r="C25" s="6" t="inlineStr">
        <is>
          <t>Sì</t>
        </is>
      </c>
      <c r="D25" s="6" t="inlineStr">
        <is>
          <t>Lo calcoliamo noi</t>
        </is>
      </c>
    </row>
    <row r="26">
      <c r="A26" s="5" t="inlineStr">
        <is>
          <t>importo_da_pagare</t>
        </is>
      </c>
      <c r="B26" s="5">
        <f> totale − Rit. acconto − Rit. prev.</f>
        <v/>
      </c>
      <c r="C26" s="5" t="inlineStr">
        <is>
          <t>Sì</t>
        </is>
      </c>
      <c r="D26" s="5" t="inlineStr">
        <is>
          <t>Uscita reale verso il fornitore (riconciliazione bancaria)</t>
        </is>
      </c>
    </row>
    <row r="27">
      <c r="A27" s="6" t="inlineStr">
        <is>
          <t>ritenute → F24</t>
        </is>
      </c>
      <c r="B27" s="6">
        <f> Rit. acconto + Rit. prev.</f>
        <v/>
      </c>
      <c r="C27" s="6" t="inlineStr">
        <is>
          <t>Sì</t>
        </is>
      </c>
      <c r="D27" s="6" t="inlineStr">
        <is>
          <t>Scadenza passiva verso erario/INPS entro il 16 + Certificazione Unica</t>
        </is>
      </c>
    </row>
    <row r="28">
      <c r="A28" s="5" t="inlineStr">
        <is>
          <t>iva_credito</t>
        </is>
      </c>
      <c r="B28" s="5">
        <f> IVA × Detraibilità</f>
        <v/>
      </c>
      <c r="C28" s="5" t="inlineStr">
        <is>
          <t>Sì</t>
        </is>
      </c>
      <c r="D28" s="5" t="inlineStr">
        <is>
          <t>IVA a credito per la liquidazione per cassa</t>
        </is>
      </c>
    </row>
    <row r="29">
      <c r="A29" s="6" t="inlineStr">
        <is>
          <t>data_pagamento_attesa</t>
        </is>
      </c>
      <c r="B29" s="6">
        <f> Prox scadenza (± politica)</f>
        <v/>
      </c>
      <c r="C29" s="6" t="inlineStr">
        <is>
          <t>Sì</t>
        </is>
      </c>
      <c r="D29" s="6" t="inlineStr">
        <is>
          <t>Nostra leva di cassa</t>
        </is>
      </c>
    </row>
    <row r="30">
      <c r="A30" s="5" t="inlineStr">
        <is>
          <t>commesse[ ] (link manuale)</t>
        </is>
      </c>
      <c r="B30" s="5" t="inlineStr">
        <is>
          <t>relazione N:N</t>
        </is>
      </c>
      <c r="C30" s="5" t="inlineStr">
        <is>
          <t>Sì</t>
        </is>
      </c>
      <c r="D30" s="5" t="inlineStr">
        <is>
          <t>Allocazione COSTO VIVO alle commesse (Tabella F). Collaboratori: principio 9</t>
        </is>
      </c>
    </row>
    <row r="31" ht="18" customHeight="1">
      <c r="A31" s="12" t="inlineStr">
        <is>
          <t>B) COME I CAMPI SI INTERSECANO CON I MODULI  (Campo → Modulo → Uso)</t>
        </is>
      </c>
      <c r="B31" s="17" t="n"/>
      <c r="C31" s="17" t="n"/>
      <c r="D31" s="18" t="n"/>
    </row>
    <row r="32">
      <c r="A32" s="5" t="inlineStr">
        <is>
          <t>Imponibile</t>
        </is>
      </c>
      <c r="B32" s="5" t="inlineStr">
        <is>
          <t>CE gestionale + Marginalità</t>
        </is>
      </c>
      <c r="C32" s="5" t="inlineStr"/>
      <c r="D32" s="5" t="inlineStr">
        <is>
          <t>Costo pieno; voce CE via Categoria; se diretto → costo vivo di commessa</t>
        </is>
      </c>
    </row>
    <row r="33">
      <c r="A33" s="6" t="inlineStr">
        <is>
          <t>IVA × Detraibilità</t>
        </is>
      </c>
      <c r="B33" s="6" t="inlineStr">
        <is>
          <t>Fiscalità — IVA per cassa</t>
        </is>
      </c>
      <c r="C33" s="6" t="inlineStr"/>
      <c r="D33" s="6" t="inlineStr">
        <is>
          <t>IVA a credito al pagamento; forfettario/indetraibile = 0</t>
        </is>
      </c>
    </row>
    <row r="34">
      <c r="A34" s="5" t="inlineStr">
        <is>
          <t>Deducibilità</t>
        </is>
      </c>
      <c r="B34" s="5" t="inlineStr">
        <is>
          <t>Fiscalità — Imposte previste</t>
        </is>
      </c>
      <c r="C34" s="5" t="inlineStr"/>
      <c r="D34" s="5" t="inlineStr">
        <is>
          <t>Quota del costo deducibile IRAP / IRPEF soci. NON tocca il CE gestionale (costo pieno)</t>
        </is>
      </c>
    </row>
    <row r="35">
      <c r="A35" s="6" t="inlineStr">
        <is>
          <t>Rit. acconto / Rit. prev.</t>
        </is>
      </c>
      <c r="B35" s="6" t="inlineStr">
        <is>
          <t>Fiscalità + Cassa</t>
        </is>
      </c>
      <c r="C35" s="6" t="inlineStr"/>
      <c r="D35" s="6" t="inlineStr">
        <is>
          <t>F24 ritenute (uscita erario/INPS) + CU; riducono l'importo pagato al fornitore</t>
        </is>
      </c>
    </row>
    <row r="36">
      <c r="A36" s="5" t="inlineStr">
        <is>
          <t>Prox scadenza</t>
        </is>
      </c>
      <c r="B36" s="5" t="inlineStr">
        <is>
          <t>Scadenzario / Tesoreria</t>
        </is>
      </c>
      <c r="C36" s="5" t="inlineStr"/>
      <c r="D36" s="5" t="inlineStr">
        <is>
          <t>data_pagamento_attesa (nostra leva di cassa)</t>
        </is>
      </c>
    </row>
    <row r="37">
      <c r="A37" s="6" t="inlineStr">
        <is>
          <t>Ft elettronica + Data ricezione FE</t>
        </is>
      </c>
      <c r="B37" s="6" t="inlineStr">
        <is>
          <t>Fiscalità — IVA per cassa</t>
        </is>
      </c>
      <c r="C37" s="6" t="inlineStr"/>
      <c r="D37" s="6" t="inlineStr">
        <is>
          <t>Solo SDI entra nel meccanismo IVA; data ricezione per registrazione/competenza</t>
        </is>
      </c>
    </row>
    <row r="38">
      <c r="A38" s="5" t="inlineStr">
        <is>
          <t>Centro costo (FIC)</t>
        </is>
      </c>
      <c r="B38" s="5" t="inlineStr">
        <is>
          <t>Centri di costo</t>
        </is>
      </c>
      <c r="C38" s="5" t="inlineStr"/>
      <c r="D38" s="5" t="inlineStr">
        <is>
          <t>Auto-map al centro funzionale, se compilato</t>
        </is>
      </c>
    </row>
    <row r="39">
      <c r="A39" s="6" t="inlineStr">
        <is>
          <t>Categoria (FIC)</t>
        </is>
      </c>
      <c r="B39" s="6" t="inlineStr">
        <is>
          <t>Piano dei conti gestionale</t>
        </is>
      </c>
      <c r="C39" s="6" t="inlineStr"/>
      <c r="D39" s="6" t="inlineStr">
        <is>
          <t>Suggerisce la categoria gestionale (mapping FIC→gestionale)</t>
        </is>
      </c>
    </row>
    <row r="40">
      <c r="A40" s="5" t="inlineStr">
        <is>
          <t>Fornitore + is_collaboratore</t>
        </is>
      </c>
      <c r="B40" s="5" t="inlineStr">
        <is>
          <t>Marginalità (principio 9)</t>
        </is>
      </c>
      <c r="C40" s="5" t="inlineStr"/>
      <c r="D40" s="5" t="inlineStr">
        <is>
          <t>Costo reale; allocazione a commessa via Tabella F</t>
        </is>
      </c>
    </row>
    <row r="41">
      <c r="A41" s="6" t="inlineStr">
        <is>
          <t>Descrizione</t>
        </is>
      </c>
      <c r="B41" s="6" t="inlineStr">
        <is>
          <t>Riconciliazione</t>
        </is>
      </c>
      <c r="C41" s="6" t="inlineStr"/>
      <c r="D41" s="6" t="inlineStr">
        <is>
          <t>Riconoscere la causale del movimento</t>
        </is>
      </c>
    </row>
    <row r="43">
      <c r="A43" s="25" t="inlineStr">
        <is>
          <t>GATE MAPPING FIC (bloccante)</t>
        </is>
      </c>
      <c r="B43" t="inlineStr">
        <is>
          <t>validare i campi FIC (imponibile/IVA/detraibilità/deducibilità/SDI/centro costo/categoria) prima di fidarsi</t>
        </is>
      </c>
      <c r="C43" t="inlineStr">
        <is>
          <t>milestone</t>
        </is>
      </c>
      <c r="D43" t="inlineStr">
        <is>
          <t>IVA per cassa, deducibilità/detraibilità e margini a valle non affidabili finché non validato</t>
        </is>
      </c>
    </row>
  </sheetData>
  <mergeCells count="5">
    <mergeCell ref="A1:D1"/>
    <mergeCell ref="A5:D5"/>
    <mergeCell ref="A31:D31"/>
    <mergeCell ref="A24:D24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6" customWidth="1" min="3" max="3"/>
    <col width="16" customWidth="1" min="4" max="4"/>
    <col width="52" customWidth="1" min="5" max="5"/>
  </cols>
  <sheetData>
    <row r="1" ht="24" customHeight="1">
      <c r="A1" s="19" t="inlineStr">
        <is>
          <t>Fiscalità — modello operativo (SAS, regime IVA per cassa)</t>
        </is>
      </c>
    </row>
    <row r="2" ht="42" customHeight="1">
      <c r="A2" s="20" t="inlineStr">
        <is>
          <t>Bite è SAS → trasparenza fiscale: NIENTE IRES. La Fiscalità è una VISTA su movimenti (IVA per cassa + consuntivo versamenti) e su scadenze tipo fiscale/contributiva. Unica anagrafica nuova: 'tributi'. Il modulo STIMA per il forecast e REGISTRA il dovuto reale (principio 6); non rifà la liquidazione del commercialista.</t>
        </is>
      </c>
    </row>
    <row r="4">
      <c r="A4" s="21" t="inlineStr">
        <is>
          <t>Voce / Tributo / Passo</t>
        </is>
      </c>
      <c r="B4" s="21" t="inlineStr">
        <is>
          <t>Regola · Formula · Ente</t>
        </is>
      </c>
      <c r="C4" s="21" t="inlineStr">
        <is>
          <t>Periodicità / Scadenza</t>
        </is>
      </c>
      <c r="D4" s="21" t="inlineStr">
        <is>
          <t>Calcolo</t>
        </is>
      </c>
      <c r="E4" s="21" t="inlineStr">
        <is>
          <t>Note / Fonte</t>
        </is>
      </c>
    </row>
    <row r="5" ht="18" customHeight="1">
      <c r="A5" s="22" t="inlineStr">
        <is>
          <t>A) INQUADRAMENTO — SAS / trasparenza (vincolante, §10.0)</t>
        </is>
      </c>
    </row>
    <row r="6">
      <c r="A6" s="23" t="inlineStr">
        <is>
          <t>Forma giuridica</t>
        </is>
      </c>
      <c r="B6" s="23" t="inlineStr">
        <is>
          <t>SAS</t>
        </is>
      </c>
      <c r="C6" s="23" t="inlineStr">
        <is>
          <t>—</t>
        </is>
      </c>
      <c r="D6" s="23" t="inlineStr">
        <is>
          <t>—</t>
        </is>
      </c>
      <c r="E6" s="23" t="inlineStr">
        <is>
          <t>Società in accomandita semplice → trasparenza fiscale (art. 5 TUIR)</t>
        </is>
      </c>
    </row>
    <row r="7">
      <c r="A7" s="23" t="inlineStr">
        <is>
          <t>IRES</t>
        </is>
      </c>
      <c r="B7" s="23" t="inlineStr">
        <is>
          <t>NON dovuta</t>
        </is>
      </c>
      <c r="C7" s="23" t="inlineStr">
        <is>
          <t>—</t>
        </is>
      </c>
      <c r="D7" s="23" t="inlineStr">
        <is>
          <t>—</t>
        </is>
      </c>
      <c r="E7" s="23" t="inlineStr">
        <is>
          <t>La società non sconta IRES. Mai reintrodurla (invariante 12)</t>
        </is>
      </c>
    </row>
    <row r="8">
      <c r="A8" s="23" t="inlineStr">
        <is>
          <t>Reddito d'impresa</t>
        </is>
      </c>
      <c r="B8" s="23" t="inlineStr">
        <is>
          <t>imputato ai soci pro-quota (quota_pct)</t>
        </is>
      </c>
      <c r="C8" s="23" t="inlineStr">
        <is>
          <t>annuale</t>
        </is>
      </c>
      <c r="D8" s="23" t="inlineStr">
        <is>
          <t>stima</t>
        </is>
      </c>
      <c r="E8" s="23" t="inlineStr">
        <is>
          <t>Tassato in capo ai soci con IRPEF, a prescindere dalla distribuzione utili</t>
        </is>
      </c>
    </row>
    <row r="9">
      <c r="A9" s="23" t="inlineStr">
        <is>
          <t>impatta_cassa_bite</t>
        </is>
      </c>
      <c r="B9" s="23" t="inlineStr">
        <is>
          <t>bool (su ogni scadenza fisc./contrib.)</t>
        </is>
      </c>
      <c r="C9" s="23" t="inlineStr">
        <is>
          <t>—</t>
        </is>
      </c>
      <c r="D9" s="23" t="inlineStr">
        <is>
          <t>—</t>
        </is>
      </c>
      <c r="E9" s="23" t="inlineStr">
        <is>
          <t>L'uscita transita dai conti Bite? Tributi società = true</t>
        </is>
      </c>
    </row>
    <row r="10">
      <c r="A10" s="23" t="inlineStr">
        <is>
          <t>bite_finanzia_tasse_soci</t>
        </is>
      </c>
      <c r="B10" s="23" t="inlineStr">
        <is>
          <t>bool (parametro)</t>
        </is>
      </c>
      <c r="C10" s="23" t="inlineStr">
        <is>
          <t>—</t>
        </is>
      </c>
      <c r="D10" s="23" t="inlineStr">
        <is>
          <t>—</t>
        </is>
      </c>
      <c r="E10" s="23" t="inlineStr">
        <is>
          <t>Se true: IRPEF/INPS soci entrano nella cassa Bite (prelievo/anticipo); se false → solo informativi</t>
        </is>
      </c>
    </row>
    <row r="11" ht="18" customHeight="1">
      <c r="A11" s="22" t="inlineStr">
        <is>
          <t>B) TRIBUTI / ONERI GESTITI</t>
        </is>
      </c>
    </row>
    <row r="12">
      <c r="A12" s="23" t="inlineStr">
        <is>
          <t>IVA (per cassa)</t>
        </is>
      </c>
      <c r="B12" s="23" t="inlineStr">
        <is>
          <t>Erario</t>
        </is>
      </c>
      <c r="C12" s="23" t="inlineStr">
        <is>
          <t>Trim. 2026: 16/05·20/08·16/11·16/03(+1) · acconto 27/12</t>
        </is>
      </c>
      <c r="D12" s="23" t="inlineStr">
        <is>
          <t>reale (no stima)</t>
        </is>
      </c>
      <c r="E12" s="23" t="inlineStr">
        <is>
          <t>Debito incassi − credito pagamenti, solo SDI. Magg. 1% opz. trim. (confermare)</t>
        </is>
      </c>
    </row>
    <row r="13">
      <c r="A13" s="23" t="inlineStr">
        <is>
          <t>Ritenute acconto operate</t>
        </is>
      </c>
      <c r="B13" s="23" t="inlineStr">
        <is>
          <t>Erario (Bite sostituto)</t>
        </is>
      </c>
      <c r="C13" s="23" t="inlineStr">
        <is>
          <t>F24 entro il 16 del mese successivo al pagamento</t>
        </is>
      </c>
      <c r="D13" s="23" t="inlineStr">
        <is>
          <t>reale (somma)</t>
        </is>
      </c>
      <c r="E13" s="23" t="inlineStr">
        <is>
          <t>Da passive §6.2 (cod. 1040 ecc.). + CU 16/03 + 770 31/10</t>
        </is>
      </c>
    </row>
    <row r="14">
      <c r="A14" s="23" t="inlineStr">
        <is>
          <t>Ritenute previdenziali operate</t>
        </is>
      </c>
      <c r="B14" s="23" t="inlineStr">
        <is>
          <t>INPS (Bite sostituto)</t>
        </is>
      </c>
      <c r="C14" s="23" t="inlineStr">
        <is>
          <t>F24 entro il 16 mese successivo</t>
        </is>
      </c>
      <c r="D14" s="23" t="inlineStr">
        <is>
          <t>reale (somma)</t>
        </is>
      </c>
      <c r="E14" s="23" t="inlineStr">
        <is>
          <t>Quota INPS gest. separata trattenuta al percipiente</t>
        </is>
      </c>
    </row>
    <row r="15">
      <c r="A15" s="23" t="inlineStr">
        <is>
          <t>IRAP</t>
        </is>
      </c>
      <c r="B15" s="23" t="inlineStr">
        <is>
          <t>Regione — SOCIETÀ</t>
        </is>
      </c>
      <c r="C15" s="23" t="inlineStr">
        <is>
          <t>Saldo + 1ª acconto giugno · 2ª acconto novembre</t>
        </is>
      </c>
      <c r="D15" s="23" t="inlineStr">
        <is>
          <t>stima + registra</t>
        </is>
      </c>
      <c r="E15" s="23" t="inlineStr">
        <is>
          <t>Unica imposta sui redditi della società. VPN × aliquota (def 3,9% – verificare ER)</t>
        </is>
      </c>
    </row>
    <row r="16">
      <c r="A16" s="23" t="inlineStr">
        <is>
          <t>IRPEF + addizionali soci</t>
        </is>
      </c>
      <c r="B16" s="23" t="inlineStr">
        <is>
          <t>Erario/Comune — SOCI</t>
        </is>
      </c>
      <c r="C16" s="23" t="inlineStr">
        <is>
          <t>Saldo + 1ª acconto giugno · 2ª acconto novembre</t>
        </is>
      </c>
      <c r="D16" s="23" t="inlineStr">
        <is>
          <t>stima + registra</t>
        </is>
      </c>
      <c r="E16" s="23" t="inlineStr">
        <is>
          <t>Trasparenza: reddito×quota_pct → scaglioni. Cassa Bite solo se bite_finanzia_tasse_soci Cassa = aliquota prudente (default 43%+add.), non la stima minima</t>
        </is>
      </c>
    </row>
    <row r="17">
      <c r="A17" s="23" t="inlineStr">
        <is>
          <t>INPS gestione commercianti soci</t>
        </is>
      </c>
      <c r="B17" s="23" t="inlineStr">
        <is>
          <t>INPS — SOCI</t>
        </is>
      </c>
      <c r="C17" s="23" t="inlineStr">
        <is>
          <t>Fissi: 16/05·20/08·16/11·16/02 · variabili coi redditi</t>
        </is>
      </c>
      <c r="D17" s="23" t="inlineStr">
        <is>
          <t>stima + registra</t>
        </is>
      </c>
      <c r="E17" s="23" t="inlineStr">
        <is>
          <t>Minimale (fissi) + ~24% sull'eccedenza. Accomandante solo se lavora (verificare)</t>
        </is>
      </c>
    </row>
    <row r="18">
      <c r="A18" s="23" t="inlineStr">
        <is>
          <t>Diritto annuale CCIAA</t>
        </is>
      </c>
      <c r="B18" s="23" t="inlineStr">
        <is>
          <t>CCIAA</t>
        </is>
      </c>
      <c r="C18" s="23" t="inlineStr">
        <is>
          <t>Con 1ª rata redditi (giugno)</t>
        </is>
      </c>
      <c r="D18" s="23" t="inlineStr">
        <is>
          <t>registra</t>
        </is>
      </c>
      <c r="E18" s="23" t="inlineStr">
        <is>
          <t>Importo fisso annuo</t>
        </is>
      </c>
    </row>
    <row r="19">
      <c r="A19" s="23" t="inlineStr">
        <is>
          <t>Imposta di bollo e-fatture</t>
        </is>
      </c>
      <c r="B19" s="23" t="inlineStr">
        <is>
          <t>Erario</t>
        </is>
      </c>
      <c r="C19" s="23" t="inlineStr">
        <is>
          <t>Trimestrale</t>
        </is>
      </c>
      <c r="D19" s="23" t="inlineStr">
        <is>
          <t>registra</t>
        </is>
      </c>
      <c r="E19" s="23" t="inlineStr">
        <is>
          <t>Solo fatture senza IVA &gt; 77,47 € — marginale per Bite (IVA ordinaria)</t>
        </is>
      </c>
    </row>
    <row r="20" ht="18" customHeight="1">
      <c r="A20" s="22" t="inlineStr">
        <is>
          <t>C) ANAGRAFICA DI SUPPORTO «tributi» (dimensione — vocabolario centralizzato, no testo libero)</t>
        </is>
      </c>
    </row>
    <row r="21">
      <c r="A21" s="24" t="inlineStr">
        <is>
          <t>id</t>
        </is>
      </c>
      <c r="B21" s="24" t="inlineStr">
        <is>
          <t>PK int</t>
        </is>
      </c>
      <c r="C21" s="24" t="inlineStr">
        <is>
          <t>Sì</t>
        </is>
      </c>
      <c r="D21" s="24" t="inlineStr">
        <is>
          <t>—</t>
        </is>
      </c>
      <c r="E21" s="24" t="inlineStr"/>
    </row>
    <row r="22">
      <c r="A22" s="23" t="inlineStr">
        <is>
          <t>nome</t>
        </is>
      </c>
      <c r="B22" s="23" t="inlineStr">
        <is>
          <t>string</t>
        </is>
      </c>
      <c r="C22" s="23" t="inlineStr">
        <is>
          <t>Sì</t>
        </is>
      </c>
      <c r="D22" s="23" t="inlineStr">
        <is>
          <t>—</t>
        </is>
      </c>
      <c r="E22" s="23" t="inlineStr">
        <is>
          <t>Es. "IVA trimestrale", "Ritenuta professionisti", "IRAP saldo"</t>
        </is>
      </c>
    </row>
    <row r="23">
      <c r="A23" s="23" t="inlineStr">
        <is>
          <t>codice_f24</t>
        </is>
      </c>
      <c r="B23" s="23" t="inlineStr">
        <is>
          <t>string</t>
        </is>
      </c>
      <c r="C23" s="23" t="inlineStr">
        <is>
          <t>No</t>
        </is>
      </c>
      <c r="D23" s="23" t="inlineStr">
        <is>
          <t>—</t>
        </is>
      </c>
      <c r="E23" s="23" t="inlineStr">
        <is>
          <t>Codice tributo F24 (1040, 3800, 6031…) — da popolare col commercialista</t>
        </is>
      </c>
    </row>
    <row r="24">
      <c r="A24" s="23" t="inlineStr">
        <is>
          <t>ente</t>
        </is>
      </c>
      <c r="B24" s="23" t="inlineStr">
        <is>
          <t>enum</t>
        </is>
      </c>
      <c r="C24" s="23" t="inlineStr">
        <is>
          <t>Sì</t>
        </is>
      </c>
      <c r="D24" s="23" t="inlineStr">
        <is>
          <t>—</t>
        </is>
      </c>
      <c r="E24" s="23" t="inlineStr">
        <is>
          <t>erario / inps / regione / comune / cciaa</t>
        </is>
      </c>
    </row>
    <row r="25">
      <c r="A25" s="23" t="inlineStr">
        <is>
          <t>tipo_scadenza</t>
        </is>
      </c>
      <c r="B25" s="23" t="inlineStr">
        <is>
          <t>enum</t>
        </is>
      </c>
      <c r="C25" s="23" t="inlineStr">
        <is>
          <t>Sì</t>
        </is>
      </c>
      <c r="D25" s="23" t="inlineStr">
        <is>
          <t>—</t>
        </is>
      </c>
      <c r="E25" s="23" t="inlineStr">
        <is>
          <t>fiscale / contributiva → mappa scadenze.tipo (foglio 2)</t>
        </is>
      </c>
    </row>
    <row r="26">
      <c r="A26" s="23" t="inlineStr">
        <is>
          <t>base_calcolo</t>
        </is>
      </c>
      <c r="B26" s="23" t="inlineStr">
        <is>
          <t>enum</t>
        </is>
      </c>
      <c r="C26" s="23" t="inlineStr">
        <is>
          <t>Sì</t>
        </is>
      </c>
      <c r="D26" s="23" t="inlineStr">
        <is>
          <t>—</t>
        </is>
      </c>
      <c r="E26" s="23" t="inlineStr">
        <is>
          <t>iva_cassa / ritenute / vpn_irap / reddito_soci / minimale_inps / fisso</t>
        </is>
      </c>
    </row>
    <row r="27">
      <c r="A27" s="23" t="inlineStr">
        <is>
          <t>periodicita</t>
        </is>
      </c>
      <c r="B27" s="23" t="inlineStr">
        <is>
          <t>enum</t>
        </is>
      </c>
      <c r="C27" s="23" t="inlineStr">
        <is>
          <t>Sì</t>
        </is>
      </c>
      <c r="D27" s="23" t="inlineStr">
        <is>
          <t>—</t>
        </is>
      </c>
      <c r="E27" s="23" t="inlineStr">
        <is>
          <t>mensile / trimestrale / annuale / rate_acconto</t>
        </is>
      </c>
    </row>
    <row r="28">
      <c r="A28" s="23" t="inlineStr">
        <is>
          <t>modalita</t>
        </is>
      </c>
      <c r="B28" s="23" t="inlineStr">
        <is>
          <t>enum</t>
        </is>
      </c>
      <c r="C28" s="23" t="inlineStr">
        <is>
          <t>Sì</t>
        </is>
      </c>
      <c r="D28" s="23" t="inlineStr">
        <is>
          <t>—</t>
        </is>
      </c>
      <c r="E28" s="23" t="inlineStr">
        <is>
          <t>reale / stima_poi_reale / fisso</t>
        </is>
      </c>
    </row>
    <row r="29">
      <c r="A29" s="23" t="inlineStr">
        <is>
          <t>a_carico</t>
        </is>
      </c>
      <c r="B29" s="23" t="inlineStr">
        <is>
          <t>enum</t>
        </is>
      </c>
      <c r="C29" s="23" t="inlineStr">
        <is>
          <t>Sì</t>
        </is>
      </c>
      <c r="D29" s="23" t="inlineStr">
        <is>
          <t>—</t>
        </is>
      </c>
      <c r="E29" s="23" t="inlineStr">
        <is>
          <t>societa / soci → guida impatta_cassa_bite</t>
        </is>
      </c>
    </row>
    <row r="30">
      <c r="A30" s="23" t="inlineStr">
        <is>
          <t>attivo</t>
        </is>
      </c>
      <c r="B30" s="23" t="inlineStr">
        <is>
          <t>bool</t>
        </is>
      </c>
      <c r="C30" s="23" t="inlineStr">
        <is>
          <t>Sì</t>
        </is>
      </c>
      <c r="D30" s="23" t="inlineStr">
        <is>
          <t>—</t>
        </is>
      </c>
      <c r="E30" s="23" t="inlineStr"/>
    </row>
    <row r="31" ht="18" customHeight="1">
      <c r="A31" s="22" t="inlineStr">
        <is>
          <t>D) MOTORE IVA PER CASSA (liquidazione REALE, non stima — §10.1)</t>
        </is>
      </c>
    </row>
    <row r="32">
      <c r="A32" s="23" t="inlineStr">
        <is>
          <t>IVA a debito</t>
        </is>
      </c>
      <c r="B32" s="23" t="inlineStr">
        <is>
          <t>Σ iva_importo movimenti ENTRATA, SDI, riconciliati, data_cassa nel periodo</t>
        </is>
      </c>
      <c r="C32" s="23" t="inlineStr">
        <is>
          <t>per periodo</t>
        </is>
      </c>
      <c r="D32" s="23" t="inlineStr">
        <is>
          <t>reale</t>
        </is>
      </c>
      <c r="E32" s="23" t="inlineStr">
        <is>
          <t>Filtro: Ft elettronica = true</t>
        </is>
      </c>
    </row>
    <row r="33">
      <c r="A33" s="23" t="inlineStr">
        <is>
          <t>IVA a credito</t>
        </is>
      </c>
      <c r="B33" s="23" t="inlineStr">
        <is>
          <t>Σ (iva_importo × detraibilità) movimenti USCITA, SDI, riconciliati, data_cassa nel periodo</t>
        </is>
      </c>
      <c r="C33" s="23" t="inlineStr">
        <is>
          <t>per periodo</t>
        </is>
      </c>
      <c r="D33" s="23" t="inlineStr">
        <is>
          <t>reale</t>
        </is>
      </c>
      <c r="E33" s="23" t="inlineStr">
        <is>
          <t>Forfettari / indetraibili = 0</t>
        </is>
      </c>
    </row>
    <row r="34">
      <c r="A34" s="23" t="inlineStr">
        <is>
          <t>Saldo IVA periodo</t>
        </is>
      </c>
      <c r="B34" s="23" t="inlineStr">
        <is>
          <t>debito − credito</t>
        </is>
      </c>
      <c r="C34" s="23" t="inlineStr">
        <is>
          <t>per periodo</t>
        </is>
      </c>
      <c r="D34" s="23" t="inlineStr">
        <is>
          <t>reale</t>
        </is>
      </c>
      <c r="E34" s="23" t="inlineStr">
        <is>
          <t>&gt; 0 → versamento F24 · &lt; 0 → credito riportato (nessun incasso)</t>
        </is>
      </c>
    </row>
    <row r="35">
      <c r="A35" s="23" t="inlineStr">
        <is>
          <t>Scadenza versamento</t>
        </is>
      </c>
      <c r="B35" s="23" t="inlineStr">
        <is>
          <t>16 del 2° mese post-trimestre (parametro)</t>
        </is>
      </c>
      <c r="C35" s="23" t="inlineStr">
        <is>
          <t>trimestrale</t>
        </is>
      </c>
      <c r="D35" s="23" t="inlineStr">
        <is>
          <t>—</t>
        </is>
      </c>
      <c r="E35" s="23" t="inlineStr">
        <is>
          <t>Magg. 1% opzione trimestrale sui primi 3 (confermare)</t>
        </is>
      </c>
    </row>
    <row r="36">
      <c r="A36" s="23" t="inlineStr">
        <is>
          <t>Acconto IVA</t>
        </is>
      </c>
      <c r="B36" s="23" t="inlineStr">
        <is>
          <t>metodo storico / previsionale / effettivo</t>
        </is>
      </c>
      <c r="C36" s="23" t="inlineStr">
        <is>
          <t>27/12</t>
        </is>
      </c>
      <c r="D36" s="23" t="inlineStr">
        <is>
          <t>—</t>
        </is>
      </c>
      <c r="E36" s="23" t="inlineStr">
        <is>
          <t>Parametro metodo</t>
        </is>
      </c>
    </row>
    <row r="37">
      <c r="A37" s="23" t="inlineStr">
        <is>
          <t>Effetto contabile</t>
        </is>
      </c>
      <c r="B37" s="23" t="inlineStr">
        <is>
          <t>solo CASSA</t>
        </is>
      </c>
      <c r="C37" s="23" t="inlineStr">
        <is>
          <t>—</t>
        </is>
      </c>
      <c r="D37" s="23" t="inlineStr">
        <is>
          <t>—</t>
        </is>
      </c>
      <c r="E37" s="23" t="inlineStr">
        <is>
          <t>Mai CE né margine (coerente §8 costo pieno)</t>
        </is>
      </c>
    </row>
    <row r="38" ht="18" customHeight="1">
      <c r="A38" s="22" t="inlineStr">
        <is>
          <t>E) MOTORE RITENUTE → F24 (Bite sostituto d'imposta — §10.2)</t>
        </is>
      </c>
    </row>
    <row r="39">
      <c r="A39" s="23" t="inlineStr">
        <is>
          <t>Aggregazione</t>
        </is>
      </c>
      <c r="B39" s="23" t="inlineStr">
        <is>
          <t>Σ (Rit. acconto + Rit. prev.) dei pagamenti del mese</t>
        </is>
      </c>
      <c r="C39" s="23" t="inlineStr">
        <is>
          <t>mensile</t>
        </is>
      </c>
      <c r="D39" s="23" t="inlineStr">
        <is>
          <t>reale</t>
        </is>
      </c>
      <c r="E39" s="23" t="inlineStr">
        <is>
          <t>Criterio cassa: momento = pagamento del compenso</t>
        </is>
      </c>
    </row>
    <row r="40">
      <c r="A40" s="23" t="inlineStr">
        <is>
          <t>Scadenza</t>
        </is>
      </c>
      <c r="B40" s="23" t="inlineStr">
        <is>
          <t>F24 entro il 16 del mese successivo</t>
        </is>
      </c>
      <c r="C40" s="23" t="inlineStr">
        <is>
          <t>mensile</t>
        </is>
      </c>
      <c r="D40" s="23" t="inlineStr">
        <is>
          <t>—</t>
        </is>
      </c>
      <c r="E40" s="23" t="inlineStr"/>
    </row>
    <row r="41">
      <c r="A41" s="23" t="inlineStr">
        <is>
          <t>Split</t>
        </is>
      </c>
      <c r="B41" s="23" t="inlineStr">
        <is>
          <t>Rit. acconto → erario (fiscale) · Rit. prev. → INPS (contributiva)</t>
        </is>
      </c>
      <c r="C41" s="23" t="inlineStr">
        <is>
          <t>—</t>
        </is>
      </c>
      <c r="D41" s="23" t="inlineStr">
        <is>
          <t>—</t>
        </is>
      </c>
      <c r="E41" s="23" t="inlineStr"/>
    </row>
    <row r="42">
      <c r="A42" s="23" t="inlineStr">
        <is>
          <t>Adempimenti annuali</t>
        </is>
      </c>
      <c r="B42" s="23" t="inlineStr">
        <is>
          <t>Certificazione Unica · Modello 770</t>
        </is>
      </c>
      <c r="C42" s="23" t="inlineStr">
        <is>
          <t>16/03 · 31/10</t>
        </is>
      </c>
      <c r="D42" s="23" t="inlineStr">
        <is>
          <t>—</t>
        </is>
      </c>
      <c r="E42" s="23" t="inlineStr">
        <is>
          <t>Date parametriche</t>
        </is>
      </c>
    </row>
    <row r="43" ht="18" customHeight="1">
      <c r="A43" s="22" t="inlineStr">
        <is>
          <t>F) MOTORE STIMA IMPOSTE &amp; CONTRIBUTI (alimenta il forecast, poi reale sovrascrive — §10.3/10.4)</t>
        </is>
      </c>
    </row>
    <row r="44">
      <c r="A44" s="23" t="inlineStr">
        <is>
          <t>VPN (base IRAP)</t>
        </is>
      </c>
      <c r="B44" s="23" t="inlineStr">
        <is>
          <t>CE gestionale → rettifiche IRAP (parametro)</t>
        </is>
      </c>
      <c r="C44" s="23" t="inlineStr">
        <is>
          <t>annuale</t>
        </is>
      </c>
      <c r="D44" s="23" t="inlineStr">
        <is>
          <t>stima</t>
        </is>
      </c>
      <c r="E44" s="23" t="inlineStr">
        <is>
          <t>Indeduc. compensi autonomi/co.co; deduz. dipendenti TI; interessi passivi indeduc. Base esatta = commercialista</t>
        </is>
      </c>
    </row>
    <row r="45">
      <c r="A45" s="23" t="inlineStr">
        <is>
          <t>IRAP stimata</t>
        </is>
      </c>
      <c r="B45" s="23" t="inlineStr">
        <is>
          <t>VPN × aliquota_irap (def 3,9%)</t>
        </is>
      </c>
      <c r="C45" s="23" t="inlineStr">
        <is>
          <t>annuale</t>
        </is>
      </c>
      <c r="D45" s="23" t="inlineStr">
        <is>
          <t>stima</t>
        </is>
      </c>
      <c r="E45" s="23" t="inlineStr">
        <is>
          <t>Verificare aliquota/maggiorazione Emilia-Romagna</t>
        </is>
      </c>
    </row>
    <row r="46">
      <c r="A46" s="23" t="inlineStr">
        <is>
          <t>Reddito socio</t>
        </is>
      </c>
      <c r="B46" s="23" t="inlineStr">
        <is>
          <t>reddito_fiscale × quota_pct</t>
        </is>
      </c>
      <c r="C46" s="23" t="inlineStr">
        <is>
          <t>annuale</t>
        </is>
      </c>
      <c r="D46" s="23" t="inlineStr">
        <is>
          <t>stima</t>
        </is>
      </c>
      <c r="E46" s="23" t="inlineStr">
        <is>
          <t>Reddito fiscale ≠ utile gestionale (variazioni fiscali)</t>
        </is>
      </c>
    </row>
    <row r="47">
      <c r="A47" s="23" t="inlineStr">
        <is>
          <t>IRPEF socio (stima minima) — reporting</t>
        </is>
      </c>
      <c r="B47" s="23" t="inlineStr">
        <is>
          <t>scaglioni IRPEF(reddito_socio) + addizionali</t>
        </is>
      </c>
      <c r="C47" s="23" t="inlineStr">
        <is>
          <t>annuale</t>
        </is>
      </c>
      <c r="D47" s="23" t="inlineStr">
        <is>
          <t>stima</t>
        </is>
      </c>
      <c r="E47" s="23" t="inlineStr">
        <is>
          <t>Ignora altri redditi → stima MINIMA per il reporting/KPI. Per la CASSA usa l'aliquota prudente (righe sotto)</t>
        </is>
      </c>
    </row>
    <row r="48">
      <c r="A48" s="23" t="inlineStr">
        <is>
          <t>INPS fissi</t>
        </is>
      </c>
      <c r="B48" s="23" t="inlineStr">
        <is>
          <t>minimale × aliquota (parametro)</t>
        </is>
      </c>
      <c r="C48" s="23" t="inlineStr">
        <is>
          <t>4 rate</t>
        </is>
      </c>
      <c r="D48" s="23" t="inlineStr">
        <is>
          <t>stima/fisso</t>
        </is>
      </c>
      <c r="E48" s="23" t="inlineStr">
        <is>
          <t>16/05 · 20/08 · 16/11 · 16/02</t>
        </is>
      </c>
    </row>
    <row r="49">
      <c r="A49" s="23" t="inlineStr">
        <is>
          <t>INPS variabili</t>
        </is>
      </c>
      <c r="B49" s="23" t="inlineStr">
        <is>
          <t>~24% × (reddito_socio − minimale), cap massimale</t>
        </is>
      </c>
      <c r="C49" s="23" t="inlineStr">
        <is>
          <t>coi redditi</t>
        </is>
      </c>
      <c r="D49" s="23" t="inlineStr">
        <is>
          <t>stima</t>
        </is>
      </c>
      <c r="E49" s="23" t="inlineStr">
        <is>
          <t>Acconti/saldo a giugno e novembre</t>
        </is>
      </c>
    </row>
    <row r="50">
      <c r="A50" s="23" t="inlineStr">
        <is>
          <t>Acconti redditi</t>
        </is>
      </c>
      <c r="B50" s="23" t="inlineStr">
        <is>
          <t>metodo storico (def 100%: 40% giu + 60% nov)</t>
        </is>
      </c>
      <c r="C50" s="23" t="inlineStr">
        <is>
          <t>giugno · novembre</t>
        </is>
      </c>
      <c r="D50" s="23" t="inlineStr">
        <is>
          <t>stima→registra</t>
        </is>
      </c>
      <c r="E50" s="23" t="inlineStr">
        <is>
          <t>Eventuale proroga luglio +0,40% (parametro)</t>
        </is>
      </c>
    </row>
    <row r="51" ht="18" customHeight="1">
      <c r="A51" s="22" t="inlineStr">
        <is>
          <t>G) CALENDARIO FISCALE TIPO 2026 (parametrico — date/aliquote da confermare col commercialista)</t>
        </is>
      </c>
    </row>
    <row r="52">
      <c r="A52" s="23" t="inlineStr">
        <is>
          <t>16 di ogni mese</t>
        </is>
      </c>
      <c r="B52" s="23" t="inlineStr">
        <is>
          <t>F24 ritenute operate mese precedente</t>
        </is>
      </c>
      <c r="C52" s="23" t="inlineStr">
        <is>
          <t>mensile</t>
        </is>
      </c>
      <c r="D52" s="23" t="inlineStr">
        <is>
          <t>—</t>
        </is>
      </c>
      <c r="E52" s="23" t="inlineStr">
        <is>
          <t>+ IVA mensile se regime mensile (qui trimestrale)</t>
        </is>
      </c>
    </row>
    <row r="53">
      <c r="A53" s="23" t="inlineStr">
        <is>
          <t>16/02</t>
        </is>
      </c>
      <c r="B53" s="23" t="inlineStr">
        <is>
          <t>INPS commercianti — 4ª rata fissi (anno prec.)</t>
        </is>
      </c>
      <c r="C53" s="23" t="inlineStr">
        <is>
          <t>annuale</t>
        </is>
      </c>
      <c r="D53" s="23" t="inlineStr">
        <is>
          <t>—</t>
        </is>
      </c>
      <c r="E53" s="23" t="inlineStr"/>
    </row>
    <row r="54">
      <c r="A54" s="23" t="inlineStr">
        <is>
          <t>16/03</t>
        </is>
      </c>
      <c r="B54" s="23" t="inlineStr">
        <is>
          <t>Certificazione Unica</t>
        </is>
      </c>
      <c r="C54" s="23" t="inlineStr">
        <is>
          <t>annuale</t>
        </is>
      </c>
      <c r="D54" s="23" t="inlineStr">
        <is>
          <t>—</t>
        </is>
      </c>
      <c r="E54" s="23" t="inlineStr"/>
    </row>
    <row r="55">
      <c r="A55" s="23" t="inlineStr">
        <is>
          <t>16/05</t>
        </is>
      </c>
      <c r="B55" s="23" t="inlineStr">
        <is>
          <t>IVA 1° trim + INPS fissi 1ª rata</t>
        </is>
      </c>
      <c r="C55" s="23" t="inlineStr">
        <is>
          <t>—</t>
        </is>
      </c>
      <c r="D55" s="23" t="inlineStr">
        <is>
          <t>—</t>
        </is>
      </c>
      <c r="E55" s="23" t="inlineStr">
        <is>
          <t>Magg. 1% IVA opzione trimestrale</t>
        </is>
      </c>
    </row>
    <row r="56">
      <c r="A56" s="23" t="inlineStr">
        <is>
          <t>30/06 (proroga ~31/07 +0,40%)</t>
        </is>
      </c>
      <c r="B56" s="23" t="inlineStr">
        <is>
          <t>Saldo redditi anno prec. + 1ª acconto (IRAP soc. / IRPEF soci / INPS var.) + diritto CCIAA</t>
        </is>
      </c>
      <c r="C56" s="23" t="inlineStr">
        <is>
          <t>annuale</t>
        </is>
      </c>
      <c r="D56" s="23" t="inlineStr">
        <is>
          <t>—</t>
        </is>
      </c>
      <c r="E56" s="23" t="inlineStr">
        <is>
          <t>Date e proroga da confermare</t>
        </is>
      </c>
    </row>
    <row r="57">
      <c r="A57" s="23" t="inlineStr">
        <is>
          <t>20/08</t>
        </is>
      </c>
      <c r="B57" s="23" t="inlineStr">
        <is>
          <t>IVA 2° trim + INPS fissi 2ª rata</t>
        </is>
      </c>
      <c r="C57" s="23" t="inlineStr">
        <is>
          <t>—</t>
        </is>
      </c>
      <c r="D57" s="23" t="inlineStr">
        <is>
          <t>—</t>
        </is>
      </c>
      <c r="E57" s="23" t="inlineStr">
        <is>
          <t>Differimento agosto</t>
        </is>
      </c>
    </row>
    <row r="58">
      <c r="A58" s="23" t="inlineStr">
        <is>
          <t>30/09</t>
        </is>
      </c>
      <c r="B58" s="23" t="inlineStr">
        <is>
          <t>Dichiarazione Redditi / IRAP (invio telematico)</t>
        </is>
      </c>
      <c r="C58" s="23" t="inlineStr">
        <is>
          <t>annuale</t>
        </is>
      </c>
      <c r="D58" s="23" t="inlineStr">
        <is>
          <t>—</t>
        </is>
      </c>
      <c r="E58" s="23" t="inlineStr">
        <is>
          <t>Data parametrica</t>
        </is>
      </c>
    </row>
    <row r="59">
      <c r="A59" s="23" t="inlineStr">
        <is>
          <t>31/10</t>
        </is>
      </c>
      <c r="B59" s="23" t="inlineStr">
        <is>
          <t>Modello 770</t>
        </is>
      </c>
      <c r="C59" s="23" t="inlineStr">
        <is>
          <t>annuale</t>
        </is>
      </c>
      <c r="D59" s="23" t="inlineStr">
        <is>
          <t>—</t>
        </is>
      </c>
      <c r="E59" s="23" t="inlineStr"/>
    </row>
    <row r="60">
      <c r="A60" s="23" t="inlineStr">
        <is>
          <t>16/11</t>
        </is>
      </c>
      <c r="B60" s="23" t="inlineStr">
        <is>
          <t>IVA 3° trim + INPS fissi 3ª rata + 2ª acconto redditi</t>
        </is>
      </c>
      <c r="C60" s="23" t="inlineStr">
        <is>
          <t>—</t>
        </is>
      </c>
      <c r="D60" s="23" t="inlineStr">
        <is>
          <t>—</t>
        </is>
      </c>
      <c r="E60" s="23" t="inlineStr"/>
    </row>
    <row r="61">
      <c r="A61" s="23" t="inlineStr">
        <is>
          <t>27/12</t>
        </is>
      </c>
      <c r="B61" s="23" t="inlineStr">
        <is>
          <t>Acconto IVA</t>
        </is>
      </c>
      <c r="C61" s="23" t="inlineStr">
        <is>
          <t>annuale</t>
        </is>
      </c>
      <c r="D61" s="23" t="inlineStr">
        <is>
          <t>—</t>
        </is>
      </c>
      <c r="E61" s="23" t="inlineStr"/>
    </row>
    <row r="62">
      <c r="A62" s="23" t="inlineStr">
        <is>
          <t>16/03 (anno +1)</t>
        </is>
      </c>
      <c r="B62" s="23" t="inlineStr">
        <is>
          <t>IVA 4° trim (opzione trimestrale)</t>
        </is>
      </c>
      <c r="C62" s="23" t="inlineStr">
        <is>
          <t>—</t>
        </is>
      </c>
      <c r="D62" s="23" t="inlineStr">
        <is>
          <t>—</t>
        </is>
      </c>
      <c r="E62" s="23" t="inlineStr"/>
    </row>
    <row r="63" ht="18" customHeight="1">
      <c r="A63" s="22" t="inlineStr">
        <is>
          <t>H) COLLEGAMENTI Fiscalità → moduli (nessuna nuova tabella di fatti — §10.6)</t>
        </is>
      </c>
    </row>
    <row r="64">
      <c r="A64" s="23" t="inlineStr">
        <is>
          <t>Tesoreria / Previsione 90gg</t>
        </is>
      </c>
      <c r="B64" s="23" t="inlineStr">
        <is>
          <t>scadenze fisc./contrib. con impatta_cassa_bite = true</t>
        </is>
      </c>
      <c r="C64" s="23" t="inlineStr">
        <is>
          <t>—</t>
        </is>
      </c>
      <c r="D64" s="23" t="inlineStr">
        <is>
          <t>—</t>
        </is>
      </c>
      <c r="E64" s="23" t="inlineStr">
        <is>
          <t>Uscite certe proiettate; la liquidazione IVA trimestrale è la voce più pesante</t>
        </is>
      </c>
    </row>
    <row r="65">
      <c r="A65" s="23" t="inlineStr">
        <is>
          <t>CE gestionale (§8)</t>
        </is>
      </c>
      <c r="B65" s="23" t="inlineStr">
        <is>
          <t>IRAP (+ IRPEF soci figurativa, opz.) nella riga «− imposte»</t>
        </is>
      </c>
      <c r="C65" s="23" t="inlineStr">
        <is>
          <t>—</t>
        </is>
      </c>
      <c r="D65" s="23" t="inlineStr">
        <is>
          <t>—</t>
        </is>
      </c>
      <c r="E65" s="23" t="inlineStr">
        <is>
          <t>IVA mai nel CE; costo pieno</t>
        </is>
      </c>
    </row>
    <row r="66">
      <c r="A66" s="23" t="inlineStr">
        <is>
          <t>KPI (§12)</t>
        </is>
      </c>
      <c r="B66" s="23" t="inlineStr">
        <is>
          <t>Saldo IVA di periodo · Carico fiscale stimato</t>
        </is>
      </c>
      <c r="C66" s="23" t="inlineStr">
        <is>
          <t>—</t>
        </is>
      </c>
      <c r="D66" s="23" t="inlineStr">
        <is>
          <t>—</t>
        </is>
      </c>
      <c r="E66" s="23" t="inlineStr">
        <is>
          <t>Indicatori direzionali</t>
        </is>
      </c>
    </row>
    <row r="67">
      <c r="A67" s="23" t="inlineStr">
        <is>
          <t>Scadenze (foglio 2)</t>
        </is>
      </c>
      <c r="B67" s="23" t="inlineStr">
        <is>
          <t>tipo = fiscale / contributiva, origine = f24</t>
        </is>
      </c>
      <c r="C67" s="23" t="inlineStr">
        <is>
          <t>—</t>
        </is>
      </c>
      <c r="D67" s="23" t="inlineStr">
        <is>
          <t>—</t>
        </is>
      </c>
      <c r="E67" s="23" t="inlineStr">
        <is>
          <t>La Fiscalità non persiste fatti propri</t>
        </is>
      </c>
    </row>
    <row r="68" ht="18" customHeight="1">
      <c r="A68" s="22" t="inlineStr">
        <is>
          <t>I) PARAMETRI DA CONFERMARE (commercialista / soci — §17)</t>
        </is>
      </c>
    </row>
    <row r="69">
      <c r="A69" s="23" t="inlineStr">
        <is>
          <t>bite_finanzia_tasse_soci</t>
        </is>
      </c>
      <c r="B69" s="23" t="inlineStr">
        <is>
          <t>bool</t>
        </is>
      </c>
      <c r="C69" s="23" t="inlineStr">
        <is>
          <t>—</t>
        </is>
      </c>
      <c r="D69" s="23" t="inlineStr">
        <is>
          <t>—</t>
        </is>
      </c>
      <c r="E69" s="23" t="inlineStr">
        <is>
          <t>Se i prelievi soci per tasse escono dai conti Bite</t>
        </is>
      </c>
    </row>
    <row r="70">
      <c r="A70" s="23" t="inlineStr">
        <is>
          <t>aliquota IRAP + rettifiche VPN</t>
        </is>
      </c>
      <c r="B70" s="23" t="inlineStr">
        <is>
          <t>% + set rettifiche</t>
        </is>
      </c>
      <c r="C70" s="23" t="inlineStr">
        <is>
          <t>—</t>
        </is>
      </c>
      <c r="D70" s="23" t="inlineStr">
        <is>
          <t>—</t>
        </is>
      </c>
      <c r="E70" s="23" t="inlineStr">
        <is>
          <t>Emilia-Romagna</t>
        </is>
      </c>
    </row>
    <row r="71">
      <c r="A71" s="23" t="inlineStr">
        <is>
          <t>minimale e aliquota INPS commercianti</t>
        </is>
      </c>
      <c r="B71" s="23" t="inlineStr">
        <is>
          <t>€ / %</t>
        </is>
      </c>
      <c r="C71" s="23" t="inlineStr">
        <is>
          <t>—</t>
        </is>
      </c>
      <c r="D71" s="23" t="inlineStr">
        <is>
          <t>—</t>
        </is>
      </c>
      <c r="E71" s="23" t="inlineStr">
        <is>
          <t>+ se l'accomandante è iscritto</t>
        </is>
      </c>
    </row>
    <row r="72">
      <c r="A72" s="23" t="inlineStr">
        <is>
          <t>scaglioni IRPEF + addizionali Parma</t>
        </is>
      </c>
      <c r="B72" s="23" t="inlineStr">
        <is>
          <t>tabella</t>
        </is>
      </c>
      <c r="C72" s="23" t="inlineStr">
        <is>
          <t>—</t>
        </is>
      </c>
      <c r="D72" s="23" t="inlineStr">
        <is>
          <t>—</t>
        </is>
      </c>
      <c r="E72" s="23" t="inlineStr">
        <is>
          <t>Valori 2026. Default prudente cassa = 43% (scaglione max) + addizionali</t>
        </is>
      </c>
    </row>
    <row r="73">
      <c r="A73" s="23" t="inlineStr">
        <is>
          <t>periodicità IVA + date/maggiorazioni</t>
        </is>
      </c>
      <c r="B73" s="23" t="inlineStr">
        <is>
          <t>—</t>
        </is>
      </c>
      <c r="C73" s="23" t="inlineStr">
        <is>
          <t>—</t>
        </is>
      </c>
      <c r="D73" s="23" t="inlineStr">
        <is>
          <t>—</t>
        </is>
      </c>
      <c r="E73" s="23" t="inlineStr">
        <is>
          <t>Confermata trimestrale 2026</t>
        </is>
      </c>
    </row>
    <row r="74">
      <c r="A74" s="23" t="inlineStr">
        <is>
          <t>metodo e misura acconti + proroghe</t>
        </is>
      </c>
      <c r="B74" s="23" t="inlineStr">
        <is>
          <t>—</t>
        </is>
      </c>
      <c r="C74" s="23" t="inlineStr">
        <is>
          <t>—</t>
        </is>
      </c>
      <c r="D74" s="23" t="inlineStr">
        <is>
          <t>—</t>
        </is>
      </c>
      <c r="E74" s="23" t="inlineStr"/>
    </row>
    <row r="75">
      <c r="A75" s="23" t="inlineStr">
        <is>
          <t>codici tributo F24</t>
        </is>
      </c>
      <c r="B75" s="23" t="inlineStr">
        <is>
          <t>tabella</t>
        </is>
      </c>
      <c r="C75" s="23" t="inlineStr">
        <is>
          <t>—</t>
        </is>
      </c>
      <c r="D75" s="23" t="inlineStr">
        <is>
          <t>—</t>
        </is>
      </c>
      <c r="E75" s="23" t="inlineStr">
        <is>
          <t>Popolare anagrafica «tributi»</t>
        </is>
      </c>
    </row>
    <row r="76">
      <c r="A76" s="23" t="inlineStr">
        <is>
          <t>rilevanza bollo e-fatture</t>
        </is>
      </c>
      <c r="B76" s="23" t="inlineStr">
        <is>
          <t>—</t>
        </is>
      </c>
      <c r="C76" s="23" t="inlineStr">
        <is>
          <t>—</t>
        </is>
      </c>
      <c r="D76" s="23" t="inlineStr">
        <is>
          <t>—</t>
        </is>
      </c>
      <c r="E76" s="23" t="inlineStr"/>
    </row>
    <row r="78">
      <c r="A78" s="25" t="inlineStr">
        <is>
          <t>IRPEF socio (cassa, prudente)</t>
        </is>
      </c>
      <c r="B78" t="inlineStr">
        <is>
          <t>aliquota marginale prudente × reddito_socio + addizionali</t>
        </is>
      </c>
      <c r="C78" t="inlineStr">
        <is>
          <t>annuale</t>
        </is>
      </c>
      <c r="D78" t="inlineStr">
        <is>
          <t>stima</t>
        </is>
      </c>
      <c r="E78" t="inlineStr">
        <is>
          <t>Per previsione cassa (§9) e scadenze impatta_cassa_bite. Default 43% + addizionali; override per-socio opzionale. Distinta dalla stima minima</t>
        </is>
      </c>
    </row>
    <row r="79">
      <c r="A79" s="25" t="inlineStr">
        <is>
          <t>aliquota_irpef_prudente</t>
        </is>
      </c>
      <c r="B79" t="inlineStr">
        <is>
          <t>parametro, default 43% + addizionali (ER/Parma)</t>
        </is>
      </c>
      <c r="C79" t="inlineStr">
        <is>
          <t>—</t>
        </is>
      </c>
      <c r="D79" t="inlineStr">
        <is>
          <t>parametro</t>
        </is>
      </c>
      <c r="E79" t="inlineStr">
        <is>
          <t>Override per-socio opzionale (aliquota_marginale_attesa, off di default = usa 43%)</t>
        </is>
      </c>
    </row>
    <row r="81">
      <c r="A81" s="25" t="inlineStr">
        <is>
          <t>F24 — DOCUMENTO AGGREGATORE (con compensazione, §10.7)</t>
        </is>
      </c>
    </row>
    <row r="82">
      <c r="A82" s="25" t="inlineStr">
        <is>
          <t>F24 testata</t>
        </is>
      </c>
      <c r="B82" t="inlineStr">
        <is>
          <t>data versamento + righe per codice tributo</t>
        </is>
      </c>
      <c r="C82" t="inlineStr">
        <is>
          <t>documento</t>
        </is>
      </c>
      <c r="D82" t="inlineStr">
        <is>
          <t>ERP</t>
        </is>
      </c>
      <c r="E82" t="inlineStr">
        <is>
          <t>Righe lette da anagrafica 'tributi' (codici F24). Utente inserisce/conferma l'F24 reale → sovrascrive la stima (inv. 14)</t>
        </is>
      </c>
    </row>
    <row r="83">
      <c r="A83" s="25" t="inlineStr">
        <is>
          <t>F24 saldo</t>
        </is>
      </c>
      <c r="B83" t="inlineStr">
        <is>
          <t>Σ debiti − Σ crediti compensati (es. IVA a credito)</t>
        </is>
      </c>
      <c r="C83" t="inlineStr">
        <is>
          <t>per F24</t>
        </is>
      </c>
      <c r="D83" t="inlineStr">
        <is>
          <t>calcolato</t>
        </is>
      </c>
      <c r="E83" t="inlineStr">
        <is>
          <t>È il SALDO l'uscita di cassa reale, non la somma lorda. Senza compensazione la previsione 90gg/12m sovrastima le uscite</t>
        </is>
      </c>
    </row>
  </sheetData>
  <mergeCells count="11">
    <mergeCell ref="A20:E20"/>
    <mergeCell ref="A43:E43"/>
    <mergeCell ref="A2:E2"/>
    <mergeCell ref="A38:E38"/>
    <mergeCell ref="A68:E68"/>
    <mergeCell ref="A11:E11"/>
    <mergeCell ref="A51:E51"/>
    <mergeCell ref="A63:E63"/>
    <mergeCell ref="A1:E1"/>
    <mergeCell ref="A5:E5"/>
    <mergeCell ref="A31:E3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16" customWidth="1" min="4" max="4"/>
    <col width="50" customWidth="1" min="5" max="5"/>
  </cols>
  <sheetData>
    <row r="1" ht="24" customHeight="1">
      <c r="A1" s="19" t="inlineStr">
        <is>
          <t>Budget &amp; Forecast — modello operativo (economico, su competenza)</t>
        </is>
      </c>
    </row>
    <row r="2" ht="46" customHeight="1">
      <c r="A2" s="20" t="inlineStr">
        <is>
          <t>Piano ECONOMICO su data_competenza (≠ previsione di cassa §9, che è su data_cassa). Forecast ROLLING driver-based = Actual YTD + ri-previsione mesi residui. Budget IBRIDO (bottom-up + top-down + pipeline). Vista derivata: persiste solo 'budget' e 'forecast_assunzioni'. Si costruisce per ultima (§16).</t>
        </is>
      </c>
    </row>
    <row r="4">
      <c r="A4" s="21" t="inlineStr">
        <is>
          <t>Voce / Campo / Driver</t>
        </is>
      </c>
      <c r="B4" s="21" t="inlineStr">
        <is>
          <t>Definizione · Formula</t>
        </is>
      </c>
      <c r="C4" s="21" t="inlineStr">
        <is>
          <t>Asse / Periodo</t>
        </is>
      </c>
      <c r="D4" s="21" t="inlineStr">
        <is>
          <t>Tipo</t>
        </is>
      </c>
      <c r="E4" s="21" t="inlineStr">
        <is>
          <t>Note / Fonte</t>
        </is>
      </c>
    </row>
    <row r="5" ht="18" customHeight="1">
      <c r="A5" s="22" t="inlineStr">
        <is>
          <t>A) I QUATTRO CONCETTI (non confondere — §13.0)</t>
        </is>
      </c>
    </row>
    <row r="6">
      <c r="A6" s="23" t="inlineStr">
        <is>
          <t>Budget</t>
        </is>
      </c>
      <c r="B6" s="23" t="inlineStr">
        <is>
          <t>Piano ex-ante, congelato a approvazione</t>
        </is>
      </c>
      <c r="C6" s="23" t="inlineStr">
        <is>
          <t>voce_ce × mese</t>
        </is>
      </c>
      <c r="D6" s="23" t="inlineStr">
        <is>
          <t>competenza</t>
        </is>
      </c>
      <c r="E6" s="23" t="inlineStr">
        <is>
          <t>Metro di paragone, non si tocca durante l'anno</t>
        </is>
      </c>
    </row>
    <row r="7">
      <c r="A7" s="23" t="inlineStr">
        <is>
          <t>Actual (consuntivo)</t>
        </is>
      </c>
      <c r="B7" s="23" t="inlineStr">
        <is>
          <t>Σ movimenti per data_competenza</t>
        </is>
      </c>
      <c r="C7" s="23" t="inlineStr">
        <is>
          <t>voce/periodo</t>
        </is>
      </c>
      <c r="D7" s="23" t="inlineStr">
        <is>
          <t>competenza</t>
        </is>
      </c>
      <c r="E7" s="23" t="inlineStr">
        <is>
          <t>Solo mesi chiusi</t>
        </is>
      </c>
    </row>
    <row r="8">
      <c r="A8" s="23" t="inlineStr">
        <is>
          <t>Forecast</t>
        </is>
      </c>
      <c r="B8" s="23" t="inlineStr">
        <is>
          <t>Actual YTD + ri-previsione mesi residui (driver)</t>
        </is>
      </c>
      <c r="C8" s="23" t="inlineStr">
        <is>
          <t>rolling, mensile</t>
        </is>
      </c>
      <c r="D8" s="23" t="inlineStr">
        <is>
          <t>calcolato</t>
        </is>
      </c>
      <c r="E8" s="23" t="inlineStr">
        <is>
          <t>Aspettativa aggiornata di atterraggio; si ricalcola a ogni chiusura</t>
        </is>
      </c>
    </row>
    <row r="9">
      <c r="A9" s="23" t="inlineStr">
        <is>
          <t>Scostamento</t>
        </is>
      </c>
      <c r="B9" s="23" t="inlineStr">
        <is>
          <t>Actual − Budget (mesi chiusi) · Forecast − Budget (atterraggio)</t>
        </is>
      </c>
      <c r="C9" s="23" t="inlineStr">
        <is>
          <t>voce/periodo</t>
        </is>
      </c>
      <c r="D9" s="23" t="inlineStr">
        <is>
          <t>calcolato</t>
        </is>
      </c>
      <c r="E9" s="23" t="inlineStr">
        <is>
          <t>Due tipi distinti: come vado vs dove atterro</t>
        </is>
      </c>
    </row>
    <row r="10">
      <c r="A10" s="23" t="inlineStr">
        <is>
          <t>vs Previsione di cassa (§9)</t>
        </is>
      </c>
      <c r="B10" s="23" t="inlineStr">
        <is>
          <t>Questo = competenza/CE/annuale · Tesoreria = cassa/90gg</t>
        </is>
      </c>
      <c r="C10" s="23" t="inlineStr">
        <is>
          <t>—</t>
        </is>
      </c>
      <c r="D10" s="23" t="inlineStr">
        <is>
          <t>—</t>
        </is>
      </c>
      <c r="E10" s="23" t="inlineStr">
        <is>
          <t>Stessa fonte (doppia data), domande diverse. Mai sommarle. Ponte = DSO/DPO</t>
        </is>
      </c>
    </row>
    <row r="11" ht="18" customHeight="1">
      <c r="A11" s="22" t="inlineStr">
        <is>
          <t>B) TABELLA «budget» (input persistito — il piano)</t>
        </is>
      </c>
    </row>
    <row r="12">
      <c r="A12" s="24" t="inlineStr">
        <is>
          <t>id</t>
        </is>
      </c>
      <c r="B12" s="24" t="inlineStr">
        <is>
          <t>PK int</t>
        </is>
      </c>
      <c r="C12" s="24" t="inlineStr">
        <is>
          <t>—</t>
        </is>
      </c>
      <c r="D12" s="24" t="inlineStr">
        <is>
          <t>ERP/Utente</t>
        </is>
      </c>
      <c r="E12" s="24" t="inlineStr"/>
    </row>
    <row r="13">
      <c r="A13" s="23" t="inlineStr">
        <is>
          <t>versione</t>
        </is>
      </c>
      <c r="B13" s="23" t="inlineStr">
        <is>
          <t>enum</t>
        </is>
      </c>
      <c r="C13" s="23" t="inlineStr">
        <is>
          <t>—</t>
        </is>
      </c>
      <c r="D13" s="23" t="inlineStr">
        <is>
          <t>ERP</t>
        </is>
      </c>
      <c r="E13" s="23" t="inlineStr">
        <is>
          <t>approvata / re-budget-n (re-budget infra-anno = eccezione tracciata)</t>
        </is>
      </c>
    </row>
    <row r="14">
      <c r="A14" s="23" t="inlineStr">
        <is>
          <t>voce_ce_id</t>
        </is>
      </c>
      <c r="B14" s="23" t="inlineStr">
        <is>
          <t>FK Categorie/voce_ce</t>
        </is>
      </c>
      <c r="C14" s="23" t="inlineStr">
        <is>
          <t>OBBLIGATORIO</t>
        </is>
      </c>
      <c r="D14" s="23" t="inlineStr">
        <is>
          <t>ERP</t>
        </is>
      </c>
      <c r="E14" s="23" t="inlineStr">
        <is>
          <t>Spina dorsale: struttura CE a scalare (foglio 9)</t>
        </is>
      </c>
    </row>
    <row r="15">
      <c r="A15" s="23" t="inlineStr">
        <is>
          <t>periodo</t>
        </is>
      </c>
      <c r="B15" s="23" t="inlineStr">
        <is>
          <t>date (mese)</t>
        </is>
      </c>
      <c r="C15" s="23" t="inlineStr">
        <is>
          <t>mese</t>
        </is>
      </c>
      <c r="D15" s="23" t="inlineStr">
        <is>
          <t>ERP</t>
        </is>
      </c>
      <c r="E15" s="23" t="inlineStr">
        <is>
          <t>Granularità mensile</t>
        </is>
      </c>
    </row>
    <row r="16">
      <c r="A16" s="23" t="inlineStr">
        <is>
          <t>importo</t>
        </is>
      </c>
      <c r="B16" s="23" t="inlineStr">
        <is>
          <t>decimal €</t>
        </is>
      </c>
      <c r="C16" s="23" t="inlineStr">
        <is>
          <t>—</t>
        </is>
      </c>
      <c r="D16" s="23" t="inlineStr">
        <is>
          <t>ERP</t>
        </is>
      </c>
      <c r="E16" s="23" t="inlineStr">
        <is>
          <t>Valore budgettato della voce nel mese</t>
        </is>
      </c>
    </row>
    <row r="17">
      <c r="A17" s="23" t="inlineStr">
        <is>
          <t>cliente_id</t>
        </is>
      </c>
      <c r="B17" s="23" t="inlineStr">
        <is>
          <t>FK Clienti</t>
        </is>
      </c>
      <c r="C17" s="23" t="inlineStr">
        <is>
          <t>opzionale</t>
        </is>
      </c>
      <c r="D17" s="23" t="inlineStr">
        <is>
          <t>ERP</t>
        </is>
      </c>
      <c r="E17" s="23" t="inlineStr">
        <is>
          <t>Solo righe ricavo per cliente (asse top-line)</t>
        </is>
      </c>
    </row>
    <row r="18">
      <c r="A18" s="23" t="inlineStr">
        <is>
          <t>commessa_id</t>
        </is>
      </c>
      <c r="B18" s="23" t="inlineStr">
        <is>
          <t>FK Commesse</t>
        </is>
      </c>
      <c r="C18" s="23" t="inlineStr">
        <is>
          <t>opzionale</t>
        </is>
      </c>
      <c r="D18" s="23" t="inlineStr">
        <is>
          <t>ERP</t>
        </is>
      </c>
      <c r="E18" s="23" t="inlineStr">
        <is>
          <t>Solo righe ricavo per commessa</t>
        </is>
      </c>
    </row>
    <row r="19">
      <c r="A19" s="23" t="inlineStr">
        <is>
          <t>centro_costo_id</t>
        </is>
      </c>
      <c r="B19" s="23" t="inlineStr">
        <is>
          <t>FK CentriCosto</t>
        </is>
      </c>
      <c r="C19" s="23" t="inlineStr">
        <is>
          <t>opzionale</t>
        </is>
      </c>
      <c r="D19" s="23" t="inlineStr">
        <is>
          <t>ERP</t>
        </is>
      </c>
      <c r="E19" s="23" t="inlineStr">
        <is>
          <t>Solo righe costo per centro (asse responsabilità)</t>
        </is>
      </c>
    </row>
    <row r="20">
      <c r="A20" s="23" t="inlineStr">
        <is>
          <t>nota_assunzione</t>
        </is>
      </c>
      <c r="B20" s="23" t="inlineStr">
        <is>
          <t>text</t>
        </is>
      </c>
      <c r="C20" s="23" t="inlineStr">
        <is>
          <t>—</t>
        </is>
      </c>
      <c r="D20" s="23" t="inlineStr">
        <is>
          <t>ERP</t>
        </is>
      </c>
      <c r="E20" s="23" t="inlineStr">
        <is>
          <t>Da dove arriva il numero (driver/target)</t>
        </is>
      </c>
    </row>
    <row r="21">
      <c r="A21" s="23" t="inlineStr">
        <is>
          <t>INVARIANTE assi</t>
        </is>
      </c>
      <c r="B21" s="23" t="inlineStr">
        <is>
          <t>Una riga vive su UN solo asse di dettaglio</t>
        </is>
      </c>
      <c r="C21" s="23" t="inlineStr">
        <is>
          <t>—</t>
        </is>
      </c>
      <c r="D21" s="23" t="inlineStr">
        <is>
          <t>regola</t>
        </is>
      </c>
      <c r="E21" s="23" t="inlineStr">
        <is>
          <t>voce_ce_id sempre; cliente/commessa O centro, non doppio conteggio</t>
        </is>
      </c>
    </row>
    <row r="22" ht="18" customHeight="1">
      <c r="A22" s="22" t="inlineStr">
        <is>
          <t>C) TABELLA «forecast_assunzioni» (parametri del motore)</t>
        </is>
      </c>
    </row>
    <row r="23">
      <c r="A23" s="23" t="inlineStr">
        <is>
          <t>peso_run_rate vs storico</t>
        </is>
      </c>
      <c r="B23" s="23" t="inlineStr">
        <is>
          <t>% (def alto, storico giovane §13.5)</t>
        </is>
      </c>
      <c r="C23" s="23" t="inlineStr">
        <is>
          <t>—</t>
        </is>
      </c>
      <c r="D23" s="23" t="inlineStr">
        <is>
          <t>parametro</t>
        </is>
      </c>
      <c r="E23" s="23" t="inlineStr">
        <is>
          <t>Quanto pesa il contratto ricorrente vs la media 12m</t>
        </is>
      </c>
    </row>
    <row r="24">
      <c r="A24" s="23" t="inlineStr">
        <is>
          <t>churn_atteso</t>
        </is>
      </c>
      <c r="B24" s="23" t="inlineStr">
        <is>
          <t>% mensile/annuo per segmento</t>
        </is>
      </c>
      <c r="C24" s="23" t="inlineStr">
        <is>
          <t>—</t>
        </is>
      </c>
      <c r="D24" s="23" t="inlineStr">
        <is>
          <t>parametro</t>
        </is>
      </c>
      <c r="E24" s="23" t="inlineStr">
        <is>
          <t>Decadimento dei ricorrenti</t>
        </is>
      </c>
    </row>
    <row r="25">
      <c r="A25" s="23" t="inlineStr">
        <is>
          <t>prob_pipeline</t>
        </is>
      </c>
      <c r="B25" s="23" t="inlineStr">
        <is>
          <t>% per stadio</t>
        </is>
      </c>
      <c r="C25" s="23" t="inlineStr">
        <is>
          <t>asse cliente/commessa</t>
        </is>
      </c>
      <c r="D25" s="23" t="inlineStr">
        <is>
          <t>parametro</t>
        </is>
      </c>
      <c r="E25" s="23" t="inlineStr">
        <is>
          <t>Ponderazione nuovo business</t>
        </is>
      </c>
    </row>
    <row r="26">
      <c r="A26" s="23" t="inlineStr">
        <is>
          <t>pct_costi_diretti_su_ricavi</t>
        </is>
      </c>
      <c r="B26" s="23" t="inlineStr">
        <is>
          <t>% storica</t>
        </is>
      </c>
      <c r="C26" s="23" t="inlineStr">
        <is>
          <t>—</t>
        </is>
      </c>
      <c r="D26" s="23" t="inlineStr">
        <is>
          <t>parametro</t>
        </is>
      </c>
      <c r="E26" s="23" t="inlineStr">
        <is>
          <t>Fallback quando manca il dettaglio commessa</t>
        </is>
      </c>
    </row>
    <row r="27">
      <c r="A27" s="23" t="inlineStr">
        <is>
          <t>fattore_stagionalita</t>
        </is>
      </c>
      <c r="B27" s="23" t="inlineStr">
        <is>
          <t>vettore 12 mesi</t>
        </is>
      </c>
      <c r="C27" s="23" t="inlineStr">
        <is>
          <t>mese</t>
        </is>
      </c>
      <c r="D27" s="23" t="inlineStr">
        <is>
          <t>parametro</t>
        </is>
      </c>
      <c r="E27" s="23" t="inlineStr">
        <is>
          <t>Su spot/una tantum; basso peso finché storico immaturo</t>
        </is>
      </c>
    </row>
    <row r="28">
      <c r="A28" s="23" t="inlineStr">
        <is>
          <t>target_crescita / target_margine</t>
        </is>
      </c>
      <c r="B28" s="23" t="inlineStr">
        <is>
          <t>% (top-down)</t>
        </is>
      </c>
      <c r="C28" s="23" t="inlineStr">
        <is>
          <t>—</t>
        </is>
      </c>
      <c r="D28" s="23" t="inlineStr">
        <is>
          <t>parametro</t>
        </is>
      </c>
      <c r="E28" s="23" t="inlineStr">
        <is>
          <t>Layer direzione sul budget</t>
        </is>
      </c>
    </row>
    <row r="29" ht="18" customHeight="1">
      <c r="A29" s="22" t="inlineStr">
        <is>
          <t>D) MOTORE FORECAST — RICAVI (driver-based, §13.2)</t>
        </is>
      </c>
    </row>
    <row r="30">
      <c r="A30" s="23" t="inlineStr">
        <is>
          <t>Ricorrenti</t>
        </is>
      </c>
      <c r="B30" s="23" t="inlineStr">
        <is>
          <t>Run-rate commesse ricorrenti attive × fattore_stabilità × (1−churn)</t>
        </is>
      </c>
      <c r="C30" s="23" t="inlineStr">
        <is>
          <t>cliente/commessa × mese</t>
        </is>
      </c>
      <c r="D30" s="23" t="inlineStr">
        <is>
          <t>calcolato</t>
        </is>
      </c>
      <c r="E30" s="23" t="inlineStr">
        <is>
          <t>Componente più affidabile. fattore_stabilità da Pagina Cliente §11.1</t>
        </is>
      </c>
    </row>
    <row r="31">
      <c r="A31" s="23" t="inlineStr">
        <is>
          <t>A milestone (Siti)</t>
        </is>
      </c>
      <c r="B31" s="23" t="inlineStr">
        <is>
          <t>Da scadenze attese dei progetti a rate non fatturate</t>
        </is>
      </c>
      <c r="C31" s="23" t="inlineStr">
        <is>
          <t>commessa × mese</t>
        </is>
      </c>
      <c r="D31" s="23" t="inlineStr">
        <is>
          <t>calcolato</t>
        </is>
      </c>
      <c r="E31" s="23" t="inlineStr">
        <is>
          <t>§4.4 modello rate/milestone</t>
        </is>
      </c>
    </row>
    <row r="32">
      <c r="A32" s="23" t="inlineStr">
        <is>
          <t>Spot / una tantum</t>
        </is>
      </c>
      <c r="B32" s="23" t="inlineStr">
        <is>
          <t>Media 12m × stagionalità OPPURE pipeline ponderata</t>
        </is>
      </c>
      <c r="C32" s="23" t="inlineStr">
        <is>
          <t>mese</t>
        </is>
      </c>
      <c r="D32" s="23" t="inlineStr">
        <is>
          <t>calcolato/stima</t>
        </is>
      </c>
      <c r="E32" s="23" t="inlineStr">
        <is>
          <t>Peso storico basso finché immaturo</t>
        </is>
      </c>
    </row>
    <row r="33">
      <c r="A33" s="23" t="inlineStr">
        <is>
          <t>Nuovo business</t>
        </is>
      </c>
      <c r="B33" s="23" t="inlineStr">
        <is>
          <t>Valore pipeline × prob_pipeline</t>
        </is>
      </c>
      <c r="C33" s="23" t="inlineStr">
        <is>
          <t>cliente/commessa</t>
        </is>
      </c>
      <c r="D33" s="23" t="inlineStr">
        <is>
          <t>stima</t>
        </is>
      </c>
      <c r="E33" s="23" t="inlineStr">
        <is>
          <t>Riga separata: sperato ≠ contrattualizzato</t>
        </is>
      </c>
    </row>
    <row r="34" ht="18" customHeight="1">
      <c r="A34" s="22" t="inlineStr">
        <is>
          <t>E) MOTORE FORECAST — COSTI (§13.2)</t>
        </is>
      </c>
    </row>
    <row r="35">
      <c r="A35" s="23" t="inlineStr">
        <is>
          <t>Struttura (fissi)</t>
        </is>
      </c>
      <c r="B35" s="23" t="inlineStr">
        <is>
          <t>Da ricorrenze: affitto, SaaS, rate</t>
        </is>
      </c>
      <c r="C35" s="23" t="inlineStr">
        <is>
          <t>centro struttura × mese</t>
        </is>
      </c>
      <c r="D35" s="23" t="inlineStr">
        <is>
          <t>calcolato</t>
        </is>
      </c>
      <c r="E35" s="23" t="inlineStr">
        <is>
          <t>Quasi deterministici</t>
        </is>
      </c>
    </row>
    <row r="36">
      <c r="A36" s="23" t="inlineStr">
        <is>
          <t>Personale</t>
        </is>
      </c>
      <c r="B36" s="23" t="inlineStr">
        <is>
          <t>Risorse: costo_aziendale_annuo ÷ 12</t>
        </is>
      </c>
      <c r="C36" s="23" t="inlineStr">
        <is>
          <t>centro × mese</t>
        </is>
      </c>
      <c r="D36" s="23" t="inlineStr">
        <is>
          <t>calcolato</t>
        </is>
      </c>
      <c r="E36" s="23" t="inlineStr">
        <is>
          <t>Deterministico (§4.6)</t>
        </is>
      </c>
    </row>
    <row r="37">
      <c r="A37" s="23" t="inlineStr">
        <is>
          <t>Diretti (variabili)</t>
        </is>
      </c>
      <c r="B37" s="23" t="inlineStr">
        <is>
          <t>Compensi collaboratori previsti + M.O. allocata; fallback % ricavi</t>
        </is>
      </c>
      <c r="C37" s="23" t="inlineStr">
        <is>
          <t>centro produttivo × mese</t>
        </is>
      </c>
      <c r="D37" s="23" t="inlineStr">
        <is>
          <t>calcolato/stima</t>
        </is>
      </c>
      <c r="E37" s="23" t="inlineStr">
        <is>
          <t>compensi[] §4.6; principio 9</t>
        </is>
      </c>
    </row>
    <row r="38">
      <c r="A38" s="23" t="inlineStr">
        <is>
          <t>Oneri finanziari</t>
        </is>
      </c>
      <c r="B38" s="23" t="inlineStr">
        <is>
          <t>Rate dei Finanziamenti</t>
        </is>
      </c>
      <c r="C38" s="23" t="inlineStr">
        <is>
          <t>mese</t>
        </is>
      </c>
      <c r="D38" s="23" t="inlineStr">
        <is>
          <t>calcolato</t>
        </is>
      </c>
      <c r="E38" s="23" t="inlineStr">
        <is>
          <t>§4.9</t>
        </is>
      </c>
    </row>
    <row r="39">
      <c r="A39" s="23" t="inlineStr">
        <is>
          <t>Imposte</t>
        </is>
      </c>
      <c r="B39" s="23" t="inlineStr">
        <is>
          <t>Stima Fiscalità (§10): IRAP + IRPEF soci fig. + INPS</t>
        </is>
      </c>
      <c r="C39" s="23" t="inlineStr">
        <is>
          <t>annuale → ripartita</t>
        </is>
      </c>
      <c r="D39" s="23" t="inlineStr">
        <is>
          <t>stima</t>
        </is>
      </c>
      <c r="E39" s="23" t="inlineStr">
        <is>
          <t>Aggancio diretto al modulo Fiscalità (foglio 14)</t>
        </is>
      </c>
    </row>
    <row r="40">
      <c r="A40" s="23">
        <f> Forecast atterraggio</f>
        <v/>
      </c>
      <c r="B40" s="23" t="inlineStr">
        <is>
          <t>Roll-up voci → Fatturato, MdC, EBIT gest., Risultato netto</t>
        </is>
      </c>
      <c r="C40" s="23" t="inlineStr">
        <is>
          <t>FY</t>
        </is>
      </c>
      <c r="D40" s="23" t="inlineStr">
        <is>
          <t>calcolato</t>
        </is>
      </c>
      <c r="E40" s="23" t="inlineStr">
        <is>
          <t>Actual mesi chiusi + Σ proiezioni mesi aperti</t>
        </is>
      </c>
    </row>
    <row r="41" ht="18" customHeight="1">
      <c r="A41" s="22" t="inlineStr">
        <is>
          <t>F) COSTRUZIONE BUDGET — IBRIDA (§13.1)</t>
        </is>
      </c>
    </row>
    <row r="42">
      <c r="A42" s="23" t="inlineStr">
        <is>
          <t>1. Baseline bottom-up</t>
        </is>
      </c>
      <c r="B42" s="23" t="inlineStr">
        <is>
          <t>Run-rate ricorrenti + ricorrenze + personale</t>
        </is>
      </c>
      <c r="C42" s="23" t="inlineStr">
        <is>
          <t>—</t>
        </is>
      </c>
      <c r="D42" s="23" t="inlineStr">
        <is>
          <t>—</t>
        </is>
      </c>
      <c r="E42" s="23" t="inlineStr">
        <is>
          <t>Parte ancorata, quasi deterministica</t>
        </is>
      </c>
    </row>
    <row r="43">
      <c r="A43" s="23" t="inlineStr">
        <is>
          <t>2. Layer top-down</t>
        </is>
      </c>
      <c r="B43" s="23" t="inlineStr">
        <is>
          <t>Target crescita ricavi/margine ripartiti per mese/voce</t>
        </is>
      </c>
      <c r="C43" s="23" t="inlineStr">
        <is>
          <t>—</t>
        </is>
      </c>
      <c r="D43" s="23" t="inlineStr">
        <is>
          <t>—</t>
        </is>
      </c>
      <c r="E43" s="23" t="inlineStr">
        <is>
          <t>Rettifica della direzione</t>
        </is>
      </c>
    </row>
    <row r="44">
      <c r="A44" s="23" t="inlineStr">
        <is>
          <t>3. Pipeline/nuovo business</t>
        </is>
      </c>
      <c r="B44" s="23" t="inlineStr">
        <is>
          <t>Riga dedicata, ponderata per probabilità</t>
        </is>
      </c>
      <c r="C44" s="23" t="inlineStr">
        <is>
          <t>cliente/commessa</t>
        </is>
      </c>
      <c r="D44" s="23" t="inlineStr">
        <is>
          <t>—</t>
        </is>
      </c>
      <c r="E44" s="23" t="inlineStr">
        <is>
          <t>Sperato separato dal contrattualizzato</t>
        </is>
      </c>
    </row>
    <row r="45">
      <c r="A45" s="23" t="inlineStr">
        <is>
          <t>→ Congelamento</t>
        </is>
      </c>
      <c r="B45" s="23" t="inlineStr">
        <is>
          <t>budget versione "approvata"</t>
        </is>
      </c>
      <c r="C45" s="23" t="inlineStr">
        <is>
          <t>—</t>
        </is>
      </c>
      <c r="D45" s="23" t="inlineStr">
        <is>
          <t>—</t>
        </is>
      </c>
      <c r="E45" s="23" t="inlineStr">
        <is>
          <t>Aggiornamento ordinario = forecast, non budget</t>
        </is>
      </c>
    </row>
    <row r="46" ht="18" customHeight="1">
      <c r="A46" s="22" t="inlineStr">
        <is>
          <t>G) SNAPSHOT &amp; ACCURATEZZA (§13.4)</t>
        </is>
      </c>
    </row>
    <row r="47">
      <c r="A47" s="23" t="inlineStr">
        <is>
          <t>Snapshot forecast</t>
        </is>
      </c>
      <c r="B47" s="23" t="inlineStr">
        <is>
          <t>Congela il forecast di atterraggio ogni mese</t>
        </is>
      </c>
      <c r="C47" s="23" t="inlineStr">
        <is>
          <t>mensile</t>
        </is>
      </c>
      <c r="D47" s="23" t="inlineStr">
        <is>
          <t>dato archiviato</t>
        </is>
      </c>
      <c r="E47" s="23" t="inlineStr">
        <is>
          <t>Unico dato congelato oltre al budget</t>
        </is>
      </c>
    </row>
    <row r="48">
      <c r="A48" s="23" t="inlineStr">
        <is>
          <t>Forecast accuracy</t>
        </is>
      </c>
      <c r="B48" s="23" t="inlineStr">
        <is>
          <t>Scarto forecast(t) vs actual realizzato</t>
        </is>
      </c>
      <c r="C48" s="23" t="inlineStr">
        <is>
          <t>a posteriori</t>
        </is>
      </c>
      <c r="D48" s="23" t="inlineStr">
        <is>
          <t>KPI</t>
        </is>
      </c>
      <c r="E48" s="23" t="inlineStr">
        <is>
          <t>Misura qualità delle previsioni; migliora i parametri</t>
        </is>
      </c>
    </row>
    <row r="49" ht="18" customHeight="1">
      <c r="A49" s="22" t="inlineStr">
        <is>
          <t>H) VISTE / KPI</t>
        </is>
      </c>
    </row>
    <row r="50">
      <c r="A50" s="23" t="inlineStr">
        <is>
          <t>Budget vs Actual vs Forecast</t>
        </is>
      </c>
      <c r="B50" s="23" t="inlineStr">
        <is>
          <t>Tabella voce_ce × mese: YTD actual, FY budget, FY forecast, scost. %</t>
        </is>
      </c>
      <c r="C50" s="23" t="inlineStr">
        <is>
          <t>—</t>
        </is>
      </c>
      <c r="D50" s="23" t="inlineStr">
        <is>
          <t>vista</t>
        </is>
      </c>
      <c r="E50" s="23" t="inlineStr">
        <is>
          <t>Sostituisce la vecchia "Budget vs Actual" (foglio 3)</t>
        </is>
      </c>
    </row>
    <row r="51">
      <c r="A51" s="23" t="inlineStr">
        <is>
          <t>Bridge budget→forecast</t>
        </is>
      </c>
      <c r="B51" s="23" t="inlineStr">
        <is>
          <t>Waterfall: cosa muove l'atterraggio vs piano</t>
        </is>
      </c>
      <c r="C51" s="23" t="inlineStr">
        <is>
          <t>—</t>
        </is>
      </c>
      <c r="D51" s="23" t="inlineStr">
        <is>
          <t>vista</t>
        </is>
      </c>
      <c r="E51" s="23" t="inlineStr">
        <is>
          <t>Leggibilità direzionale</t>
        </is>
      </c>
    </row>
    <row r="52">
      <c r="A52" s="23" t="inlineStr">
        <is>
          <t>Drill ricavi</t>
        </is>
      </c>
      <c r="B52" s="23" t="inlineStr">
        <is>
          <t>Per cliente/commessa</t>
        </is>
      </c>
      <c r="C52" s="23" t="inlineStr">
        <is>
          <t>asse ricavi</t>
        </is>
      </c>
      <c r="D52" s="23" t="inlineStr">
        <is>
          <t>vista</t>
        </is>
      </c>
      <c r="E52" s="23" t="inlineStr">
        <is>
          <t>Da dove arriva/manca il fatturato</t>
        </is>
      </c>
    </row>
    <row r="53">
      <c r="A53" s="23" t="inlineStr">
        <is>
          <t>Drill costi</t>
        </is>
      </c>
      <c r="B53" s="23" t="inlineStr">
        <is>
          <t>Per centro di costo</t>
        </is>
      </c>
      <c r="C53" s="23" t="inlineStr">
        <is>
          <t>asse costi</t>
        </is>
      </c>
      <c r="D53" s="23" t="inlineStr">
        <is>
          <t>vista</t>
        </is>
      </c>
      <c r="E53" s="23" t="inlineStr">
        <is>
          <t>Responsabilizzazione aree</t>
        </is>
      </c>
    </row>
    <row r="54">
      <c r="A54" s="23" t="inlineStr">
        <is>
          <t>KPI Scostamento budget</t>
        </is>
      </c>
      <c r="B54" s="23" t="inlineStr">
        <is>
          <t>Actual−Budget e Forecast−Budget (% e €)</t>
        </is>
      </c>
      <c r="C54" s="23" t="inlineStr">
        <is>
          <t>mensile</t>
        </is>
      </c>
      <c r="D54" s="23" t="inlineStr">
        <is>
          <t>KPI</t>
        </is>
      </c>
      <c r="E54" s="23" t="inlineStr">
        <is>
          <t>Esteso dal KPI esistente</t>
        </is>
      </c>
    </row>
    <row r="55">
      <c r="A55" s="23" t="inlineStr">
        <is>
          <t>KPI Forecast atterraggio</t>
        </is>
      </c>
      <c r="B55" s="23" t="inlineStr">
        <is>
          <t>Fatturato/MdC/EBIT/Netto FY attesi</t>
        </is>
      </c>
      <c r="C55" s="23" t="inlineStr">
        <is>
          <t>FY</t>
        </is>
      </c>
      <c r="D55" s="23" t="inlineStr">
        <is>
          <t>KPI</t>
        </is>
      </c>
      <c r="E55" s="23" t="inlineStr">
        <is>
          <t>Da roll-up forecast</t>
        </is>
      </c>
    </row>
    <row r="56" ht="18" customHeight="1">
      <c r="A56" s="22" t="inlineStr">
        <is>
          <t>I) PARAMETRI / DECISIONI APERTE (§17)</t>
        </is>
      </c>
    </row>
    <row r="57">
      <c r="A57" s="23" t="inlineStr">
        <is>
          <t>Target crescita e margine</t>
        </is>
      </c>
      <c r="B57" s="23" t="inlineStr">
        <is>
          <t>% direzione</t>
        </is>
      </c>
      <c r="C57" s="23" t="inlineStr">
        <is>
          <t>—</t>
        </is>
      </c>
      <c r="D57" s="23" t="inlineStr">
        <is>
          <t>—</t>
        </is>
      </c>
      <c r="E57" s="23" t="inlineStr">
        <is>
          <t>Layer top-down del budget</t>
        </is>
      </c>
    </row>
    <row r="58">
      <c r="A58" s="23" t="inlineStr">
        <is>
          <t>prob_pipeline per stadio</t>
        </is>
      </c>
      <c r="B58" s="23" t="inlineStr">
        <is>
          <t>%</t>
        </is>
      </c>
      <c r="C58" s="23" t="inlineStr">
        <is>
          <t>—</t>
        </is>
      </c>
      <c r="D58" s="23" t="inlineStr">
        <is>
          <t>—</t>
        </is>
      </c>
      <c r="E58" s="23" t="inlineStr">
        <is>
          <t>Definire stadi e probabilità</t>
        </is>
      </c>
    </row>
    <row r="59">
      <c r="A59" s="23" t="inlineStr">
        <is>
          <t>peso run-rate vs storico</t>
        </is>
      </c>
      <c r="B59" s="23" t="inlineStr">
        <is>
          <t>%</t>
        </is>
      </c>
      <c r="C59" s="23" t="inlineStr">
        <is>
          <t>—</t>
        </is>
      </c>
      <c r="D59" s="23" t="inlineStr">
        <is>
          <t>—</t>
        </is>
      </c>
      <c r="E59" s="23" t="inlineStr">
        <is>
          <t>Alto all'inizio (storico 2024 immaturo)</t>
        </is>
      </c>
    </row>
    <row r="60">
      <c r="A60" s="23" t="inlineStr">
        <is>
          <t>Frequenza re-forecast</t>
        </is>
      </c>
      <c r="B60" s="23" t="inlineStr">
        <is>
          <t>mensile (default)</t>
        </is>
      </c>
      <c r="C60" s="23" t="inlineStr">
        <is>
          <t>—</t>
        </is>
      </c>
      <c r="D60" s="23" t="inlineStr">
        <is>
          <t>—</t>
        </is>
      </c>
      <c r="E60" s="23" t="inlineStr">
        <is>
          <t>Legato alla disciplina di chiusura competenza</t>
        </is>
      </c>
    </row>
    <row r="61">
      <c r="A61" s="23" t="inlineStr">
        <is>
          <t>Snapshot: cosa congelare</t>
        </is>
      </c>
      <c r="B61" s="23" t="inlineStr">
        <is>
          <t>livello voce vs solo atterraggio</t>
        </is>
      </c>
      <c r="C61" s="23" t="inlineStr">
        <is>
          <t>—</t>
        </is>
      </c>
      <c r="D61" s="23" t="inlineStr">
        <is>
          <t>—</t>
        </is>
      </c>
      <c r="E61" s="23" t="inlineStr">
        <is>
          <t>Trade-off dettaglio/peso</t>
        </is>
      </c>
    </row>
    <row r="63">
      <c r="A63" s="25" t="inlineStr">
        <is>
          <t>Coefficiente OVH (rolling)</t>
        </is>
      </c>
      <c r="B63" t="inlineStr">
        <is>
          <t>overhead struttura previsto ÷ base ricavi prevista, 12m avanti</t>
        </is>
      </c>
      <c r="C63" t="inlineStr">
        <is>
          <t>rolling, mensile</t>
        </is>
      </c>
      <c r="D63" t="inlineStr">
        <is>
          <t>calcolato</t>
        </is>
      </c>
      <c r="E63" t="inlineStr">
        <is>
          <t>Derivato qui e usato dalla Commessa per il normal costing (§4.5). Scarto vs reale = varianza di assorbimento aziendale</t>
        </is>
      </c>
    </row>
    <row r="65">
      <c r="A65" s="25" t="inlineStr">
        <is>
          <t>CHIUSURA DI PERIODO (lock, §13.6)</t>
        </is>
      </c>
    </row>
    <row r="66">
      <c r="A66" s="25" t="inlineStr">
        <is>
          <t>Hard lock</t>
        </is>
      </c>
      <c r="B66" t="inlineStr">
        <is>
          <t>entro il 15 del mese successivo (soft close a fine mese)</t>
        </is>
      </c>
      <c r="C66" t="inlineStr">
        <is>
          <t>mensile</t>
        </is>
      </c>
      <c r="D66" t="inlineStr">
        <is>
          <t>parametro</t>
        </is>
      </c>
      <c r="E66" t="inlineStr">
        <is>
          <t>Congela movimenti per data_competenza; correzioni = rettifiche nel periodo aperto</t>
        </is>
      </c>
    </row>
    <row r="67">
      <c r="A67" s="25" t="inlineStr">
        <is>
          <t>Routine di chiusura</t>
        </is>
      </c>
      <c r="B67" t="inlineStr">
        <is>
          <t>congela competenza → snapshot forecast → coeff. OVH + varianza → margini commessa → Actual → rebase forecast</t>
        </is>
      </c>
      <c r="C67" t="inlineStr">
        <is>
          <t>mensile</t>
        </is>
      </c>
      <c r="D67" t="inlineStr">
        <is>
          <t>sequenza</t>
        </is>
      </c>
      <c r="E67" t="inlineStr">
        <is>
          <t>Prerequisito del forecast rolling e del coefficiente OVH (§4.5)</t>
        </is>
      </c>
    </row>
    <row r="68">
      <c r="A68" s="25" t="inlineStr">
        <is>
          <t>Snapshot forecast</t>
        </is>
      </c>
      <c r="B68" t="inlineStr">
        <is>
          <t>immutabile e VERSIONATO alla chiusura</t>
        </is>
      </c>
      <c r="C68" t="inlineStr">
        <is>
          <t>mensile</t>
        </is>
      </c>
      <c r="D68" t="inlineStr">
        <is>
          <t>congelato</t>
        </is>
      </c>
      <c r="E68" t="inlineStr">
        <is>
          <t>Riapertura tracciata (solo direzione) → nuova versione, originale conservato. Forecast accuracy sempre su ciò che era previsto</t>
        </is>
      </c>
    </row>
  </sheetData>
  <mergeCells count="11">
    <mergeCell ref="A34:E34"/>
    <mergeCell ref="A29:E29"/>
    <mergeCell ref="A2:E2"/>
    <mergeCell ref="A41:E41"/>
    <mergeCell ref="A11:E11"/>
    <mergeCell ref="A49:E49"/>
    <mergeCell ref="A1:E1"/>
    <mergeCell ref="A5:E5"/>
    <mergeCell ref="A46:E46"/>
    <mergeCell ref="A22:E22"/>
    <mergeCell ref="A56:E5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8" customWidth="1" min="3" max="3"/>
    <col width="14" customWidth="1" min="4" max="4"/>
    <col width="46" customWidth="1" min="5" max="5"/>
  </cols>
  <sheetData>
    <row r="1" ht="24" customHeight="1">
      <c r="A1" s="19" t="inlineStr">
        <is>
          <t>Preventivatore — esterno "a margine" + interno (allocazione)</t>
        </is>
      </c>
    </row>
    <row r="2" ht="46" customHeight="1">
      <c r="A2" s="20" t="inlineStr">
        <is>
          <t>Un solo modello di costo, due letture: cost-up (markup, vista cliente) e price-down (allocazione interna). Due modalità di prezzo selezionabili (markup/margine). Gemello ex-ante della marginalità di commessa (§4.5): il preventivo accettato genera accordo_economico + budget-ore. Righe libere + catalogo servizi leggero.</t>
        </is>
      </c>
    </row>
    <row r="4">
      <c r="A4" s="21" t="inlineStr">
        <is>
          <t>Voce / Campo</t>
        </is>
      </c>
      <c r="B4" s="21" t="inlineStr">
        <is>
          <t>Definizione · Formula</t>
        </is>
      </c>
      <c r="C4" s="21" t="inlineStr">
        <is>
          <t>Natura / Asse</t>
        </is>
      </c>
      <c r="D4" s="21" t="inlineStr">
        <is>
          <t>Tipo</t>
        </is>
      </c>
      <c r="E4" s="21" t="inlineStr">
        <is>
          <t>Note / Vincolo</t>
        </is>
      </c>
    </row>
    <row r="5" ht="18" customHeight="1">
      <c r="A5" s="22" t="inlineStr">
        <is>
          <t>A) PRINCIPIO — una scomposizione, due letture (§18.1)</t>
        </is>
      </c>
    </row>
    <row r="6">
      <c r="A6" s="23" t="inlineStr">
        <is>
          <t>Scomposizione prezzo</t>
        </is>
      </c>
      <c r="B6" s="23" t="inlineStr">
        <is>
          <t>Prezzo = costi esterni + lavoro interno + OVH + margine</t>
        </is>
      </c>
      <c r="C6" s="23" t="inlineStr">
        <is>
          <t>—</t>
        </is>
      </c>
      <c r="D6" s="23" t="inlineStr">
        <is>
          <t>identità</t>
        </is>
      </c>
      <c r="E6" s="23" t="inlineStr">
        <is>
          <t>La base di entrambe le viste</t>
        </is>
      </c>
    </row>
    <row r="7">
      <c r="A7" s="23" t="inlineStr">
        <is>
          <t>Vista esterna (cliente)</t>
        </is>
      </c>
      <c r="B7" s="23" t="inlineStr">
        <is>
          <t>Cost-up: Prezzo = Σcosti × (1+markup)</t>
        </is>
      </c>
      <c r="C7" s="23" t="inlineStr">
        <is>
          <t>dal basso</t>
        </is>
      </c>
      <c r="D7" s="23" t="inlineStr">
        <is>
          <t>output prezzo</t>
        </is>
      </c>
      <c r="E7" s="23" t="inlineStr">
        <is>
          <t>Da mostrare al cliente</t>
        </is>
      </c>
    </row>
    <row r="8">
      <c r="A8" s="23" t="inlineStr">
        <is>
          <t>Vista interna (allocazione)</t>
        </is>
      </c>
      <c r="B8" s="23" t="inlineStr">
        <is>
          <t>Price-down: da Prezzo → budget interno da distribuire</t>
        </is>
      </c>
      <c r="C8" s="23" t="inlineStr">
        <is>
          <t>dall'alto</t>
        </is>
      </c>
      <c r="D8" s="23" t="inlineStr">
        <is>
          <t>input prezzo</t>
        </is>
      </c>
      <c r="E8" s="23" t="inlineStr">
        <is>
          <t>Redistribuzione del residuo alle lavorazioni</t>
        </is>
      </c>
    </row>
    <row r="9">
      <c r="A9" s="23" t="inlineStr">
        <is>
          <t>Markup ≠ Margine</t>
        </is>
      </c>
      <c r="B9" s="23" t="inlineStr">
        <is>
          <t>markup = prezzo/costo − 1 · margine = utile/prezzo</t>
        </is>
      </c>
      <c r="C9" s="23" t="inlineStr">
        <is>
          <t>—</t>
        </is>
      </c>
      <c r="D9" s="23" t="inlineStr">
        <is>
          <t>—</t>
        </is>
      </c>
      <c r="E9" s="23" t="inlineStr">
        <is>
          <t>Mostrare sempre entrambi in UI (no confusione)</t>
        </is>
      </c>
    </row>
    <row r="10" ht="18" customHeight="1">
      <c r="A10" s="22" t="inlineStr">
        <is>
          <t>B) MODALITÀ DI PREZZO — selezionabile per preventivo (§18.1)</t>
        </is>
      </c>
    </row>
    <row r="11">
      <c r="A11" s="23" t="inlineStr">
        <is>
          <t>Cost-up (markup)</t>
        </is>
      </c>
      <c r="B11" s="23" t="inlineStr">
        <is>
          <t>Prezzo = Σcosti × (1+markup); markup su solo-lavoro o costo pieno</t>
        </is>
      </c>
      <c r="C11" s="23" t="inlineStr">
        <is>
          <t>per preventivo</t>
        </is>
      </c>
      <c r="D11" s="23" t="inlineStr">
        <is>
          <t>calcolato</t>
        </is>
      </c>
      <c r="E11" s="23" t="inlineStr">
        <is>
          <t>Base del markup = parametro (§17)</t>
        </is>
      </c>
    </row>
    <row r="12">
      <c r="A12" s="23" t="inlineStr">
        <is>
          <t>Margine-down</t>
        </is>
      </c>
      <c r="B12" s="23" t="inlineStr">
        <is>
          <t>margine = Prezzo − costo pieno · oppure Prezzo = costo pieno/(1−margine%)</t>
        </is>
      </c>
      <c r="C12" s="23" t="inlineStr">
        <is>
          <t>per preventivo</t>
        </is>
      </c>
      <c r="D12" s="23" t="inlineStr">
        <is>
          <t>calcolato</t>
        </is>
      </c>
      <c r="E12" s="23" t="inlineStr">
        <is>
          <t>Più vicino a "preventivo a margine"</t>
        </is>
      </c>
    </row>
    <row r="13" ht="18" customHeight="1">
      <c r="A13" s="22" t="inlineStr">
        <is>
          <t>C) RIGHE DEL PREVENTIVO — meccaniche di costo diverse (§18.2)</t>
        </is>
      </c>
    </row>
    <row r="14">
      <c r="A14" s="23" t="inlineStr">
        <is>
          <t>Riga lavoro a ore (dipendenti)</t>
        </is>
      </c>
      <c r="B14" s="23" t="inlineStr">
        <is>
          <t>costo = ore × costo_orario reale (§4.6)</t>
        </is>
      </c>
      <c r="C14" s="23" t="inlineStr">
        <is>
          <t>lavoro</t>
        </is>
      </c>
      <c r="D14" s="23" t="inlineStr">
        <is>
          <t>ERP/calcolato</t>
        </is>
      </c>
      <c r="E14" s="23" t="inlineStr">
        <is>
          <t>CONSUMA il budget interno B. Il trade-off ore vive qui</t>
        </is>
      </c>
    </row>
    <row r="15">
      <c r="A15" s="23" t="inlineStr">
        <is>
          <t>Riga socio</t>
        </is>
      </c>
      <c r="B15" s="23" t="inlineStr">
        <is>
          <t>costo = pool × (w_progetto / Σ w_attivi) — quota progettuale ripartita per peso (§4.6); nuovo progetto entra col suo peso</t>
        </is>
      </c>
      <c r="C15" s="23" t="inlineStr">
        <is>
          <t>lavoro</t>
        </is>
      </c>
      <c r="D15" s="23" t="inlineStr">
        <is>
          <t>ERP/calcolato</t>
        </is>
      </c>
      <c r="E15" s="23" t="inlineStr">
        <is>
          <t>Costo NON guidato dalle ore del preventivo (ore socio = capacità + chiave di riparto). A preventivo = stima su n+1</t>
        </is>
      </c>
    </row>
    <row r="16">
      <c r="A16" s="23" t="inlineStr">
        <is>
          <t>Riga costo esterno</t>
        </is>
      </c>
      <c r="B16" s="23" t="inlineStr">
        <is>
          <t>fattura collaboratore / fornitore / licenza (+ ricarico opz.)</t>
        </is>
      </c>
      <c r="C16" s="23" t="inlineStr">
        <is>
          <t>esterno</t>
        </is>
      </c>
      <c r="D16" s="23" t="inlineStr">
        <is>
          <t>ERP</t>
        </is>
      </c>
      <c r="E16" s="23" t="inlineStr">
        <is>
          <t>Pass-through. Collaboratori a fattura: principio 9</t>
        </is>
      </c>
    </row>
    <row r="17">
      <c r="A17" s="23" t="inlineStr">
        <is>
          <t>Overhead</t>
        </is>
      </c>
      <c r="B17" s="23" t="inlineStr">
        <is>
          <t>quota OVH = % su PREZZO (coerente con base-ricavi a consuntivo §4.5), allineata al coefficiente rolling</t>
        </is>
      </c>
      <c r="C17" s="23" t="inlineStr">
        <is>
          <t>overhead</t>
        </is>
      </c>
      <c r="D17" s="23" t="inlineStr">
        <is>
          <t>calcolato</t>
        </is>
      </c>
      <c r="E17" s="23" t="inlineStr">
        <is>
          <t>Include già la quota admin/commerciale soci (40%): NON ridoppiare</t>
        </is>
      </c>
    </row>
    <row r="18" ht="18" customHeight="1">
      <c r="A18" s="22" t="inlineStr">
        <is>
          <t>D) VISTA INTERNA — residuo, allocazione, trade-off (§18.3)</t>
        </is>
      </c>
    </row>
    <row r="19">
      <c r="A19" s="23" t="inlineStr">
        <is>
          <t>Budget interno B</t>
        </is>
      </c>
      <c r="B19" s="23" t="inlineStr">
        <is>
          <t>B = Prezzo − esterni − costo soci(riparto pesato) − OVH − margine_target</t>
        </is>
      </c>
      <c r="C19" s="23" t="inlineStr">
        <is>
          <t>—</t>
        </is>
      </c>
      <c r="D19" s="23" t="inlineStr">
        <is>
          <t>calcolato</t>
        </is>
      </c>
      <c r="E19" s="23" t="inlineStr">
        <is>
          <t>La quota distribuibile in ore</t>
        </is>
      </c>
    </row>
    <row r="20">
      <c r="A20" s="23" t="inlineStr">
        <is>
          <t>Distribuzione</t>
        </is>
      </c>
      <c r="B20" s="23" t="inlineStr">
        <is>
          <t>B ripartito tra risorse a ore</t>
        </is>
      </c>
      <c r="C20" s="23" t="inlineStr">
        <is>
          <t>risorse a ore</t>
        </is>
      </c>
      <c r="D20" s="23" t="inlineStr">
        <is>
          <t>calcolato</t>
        </is>
      </c>
      <c r="E20" s="23" t="inlineStr">
        <is>
          <t>Solo dipendenti (soci fuori dal trade-off euro)</t>
        </is>
      </c>
    </row>
    <row r="21">
      <c r="A21" s="23" t="inlineStr">
        <is>
          <t>Trade-off ore</t>
        </is>
      </c>
      <c r="B21" s="23" t="inlineStr">
        <is>
          <t>h_F ≤ (B − ore_A × r_A) / r_F</t>
        </is>
      </c>
      <c r="C21" s="23" t="inlineStr">
        <is>
          <t>simulatore</t>
        </is>
      </c>
      <c r="D21" s="23" t="inlineStr">
        <is>
          <t>calcolato</t>
        </is>
      </c>
      <c r="E21" s="23" t="inlineStr">
        <is>
          <t>Fissi le ore di uno → massimo per gli altri</t>
        </is>
      </c>
    </row>
    <row r="22">
      <c r="A22" s="23" t="inlineStr">
        <is>
          <t>Servizio aggiuntivo?</t>
        </is>
      </c>
      <c r="B22" s="23" t="inlineStr">
        <is>
          <t>vero se B_residuo &gt; 0 E capacità residua &gt; 0</t>
        </is>
      </c>
      <c r="C22" s="23" t="inlineStr">
        <is>
          <t>—</t>
        </is>
      </c>
      <c r="D22" s="23" t="inlineStr">
        <is>
          <t>check</t>
        </is>
      </c>
      <c r="E22" s="23" t="inlineStr">
        <is>
          <t>Le due condizioni insieme</t>
        </is>
      </c>
    </row>
    <row r="23">
      <c r="A23" s="23" t="inlineStr">
        <is>
          <t>LIMITE CRITICO</t>
        </is>
      </c>
      <c r="B23" s="23" t="inlineStr">
        <is>
          <t>Il trade-off in EURO vale solo tra risorse a ore</t>
        </is>
      </c>
      <c r="C23" s="23" t="inlineStr">
        <is>
          <t>—</t>
        </is>
      </c>
      <c r="D23" s="23" t="inlineStr">
        <is>
          <t>vincolo</t>
        </is>
      </c>
      <c r="E23" s="23" t="inlineStr">
        <is>
          <t>Per i soci 'quante ore' = fattibilità, non budget (costo = quota pesata dal portafoglio, non dalle ore). In v2 (tariffa standard) rientra nel trade-off euro</t>
        </is>
      </c>
    </row>
    <row r="24" ht="18" customHeight="1">
      <c r="A24" s="22" t="inlineStr">
        <is>
          <t>E) COSTO SOCIO — regola confermata + implicazioni (§18.4)</t>
        </is>
      </c>
    </row>
    <row r="25">
      <c r="A25" s="23" t="inlineStr">
        <is>
          <t>Esempio</t>
        </is>
      </c>
      <c r="B25" s="23" t="inlineStr">
        <is>
          <t>1.500 × 60% = 900 (pool) ripartito per peso; a pesi uguali = 900 ÷ 9 = 100/progetto (degenere)</t>
        </is>
      </c>
      <c r="C25" s="23" t="inlineStr">
        <is>
          <t>—</t>
        </is>
      </c>
      <c r="D25" s="23" t="inlineStr">
        <is>
          <t>—</t>
        </is>
      </c>
      <c r="E25" s="23" t="inlineStr">
        <is>
          <t>Il 40% (admin+commerciale) → OVH. Con intensità diverse la quota segue il peso</t>
        </is>
      </c>
    </row>
    <row r="26">
      <c r="A26" s="23" t="inlineStr">
        <is>
          <t>Diluizione portafoglio</t>
        </is>
      </c>
      <c r="B26" s="23" t="inlineStr">
        <is>
          <t>Ogni nuovo progetto abbassa la quota su TUTTI i progetti</t>
        </is>
      </c>
      <c r="C26" s="23" t="inlineStr">
        <is>
          <t>—</t>
        </is>
      </c>
      <c r="D26" s="23" t="inlineStr">
        <is>
          <t>vincolo</t>
        </is>
      </c>
      <c r="E26" s="23" t="inlineStr">
        <is>
          <t>v1 risolve la mis-allocazione relativa (riparto pesato) ma NON la diluizione; a preventivo = stima su n_progetti+1. Chiusa in v2 (tariffa standard)</t>
        </is>
      </c>
    </row>
    <row r="27">
      <c r="A27" s="23" t="inlineStr">
        <is>
          <t>No doppio conteggio</t>
        </is>
      </c>
      <c r="B27" s="23" t="inlineStr">
        <is>
          <t>Quota admin/commerciale è già in OVH</t>
        </is>
      </c>
      <c r="C27" s="23" t="inlineStr">
        <is>
          <t>—</t>
        </is>
      </c>
      <c r="D27" s="23" t="inlineStr">
        <is>
          <t>invariante</t>
        </is>
      </c>
      <c r="E27" s="23" t="inlineStr">
        <is>
          <t>A costo diretto solo la quota progettuale (pesata, §4.6)</t>
        </is>
      </c>
    </row>
    <row r="28" ht="18" customHeight="1">
      <c r="A28" s="22" t="inlineStr">
        <is>
          <t>F) CAPACITÀ — check leggero (scelta di partenza, §18.5)</t>
        </is>
      </c>
    </row>
    <row r="29">
      <c r="A29" s="23" t="inlineStr">
        <is>
          <t>Capacità mensile</t>
        </is>
      </c>
      <c r="B29" s="23" t="inlineStr">
        <is>
          <t>ore nette ÷ 12</t>
        </is>
      </c>
      <c r="C29" s="23" t="inlineStr">
        <is>
          <t>per risorsa</t>
        </is>
      </c>
      <c r="D29" s="23" t="inlineStr">
        <is>
          <t>calcolato</t>
        </is>
      </c>
      <c r="E29" s="23" t="inlineStr">
        <is>
          <t>Dipendenti §4.6; soci con monte-ore parametrico</t>
        </is>
      </c>
    </row>
    <row r="30">
      <c r="A30" s="23" t="inlineStr">
        <is>
          <t>% impegnata</t>
        </is>
      </c>
      <c r="B30" s="23" t="inlineStr">
        <is>
          <t>inserita a mano per periodo</t>
        </is>
      </c>
      <c r="C30" s="23" t="inlineStr">
        <is>
          <t>per risorsa/periodo</t>
        </is>
      </c>
      <c r="D30" s="23" t="inlineStr">
        <is>
          <t>ERP</t>
        </is>
      </c>
      <c r="E30" s="23" t="inlineStr">
        <is>
          <t>Ore disponibili = capacità × (1 − % impegnata)</t>
        </is>
      </c>
    </row>
    <row r="31">
      <c r="A31" s="23" t="inlineStr">
        <is>
          <t>Flag sovra-allocazione</t>
        </is>
      </c>
      <c r="B31" s="23" t="inlineStr">
        <is>
          <t>allocazione &gt; disponibile → segnalata</t>
        </is>
      </c>
      <c r="C31" s="23" t="inlineStr">
        <is>
          <t>—</t>
        </is>
      </c>
      <c r="D31" s="23" t="inlineStr">
        <is>
          <t>check</t>
        </is>
      </c>
      <c r="E31" s="23" t="inlineStr">
        <is>
          <t>"Chi ha tempo" = stima, non verità</t>
        </is>
      </c>
    </row>
    <row r="32">
      <c r="A32" s="23" t="inlineStr">
        <is>
          <t>Registro forward completo</t>
        </is>
      </c>
      <c r="B32" s="23" t="inlineStr">
        <is>
          <t>allocazioni su tutte le commesse attive</t>
        </is>
      </c>
      <c r="C32" s="23" t="inlineStr">
        <is>
          <t>—</t>
        </is>
      </c>
      <c r="D32" s="23" t="inlineStr">
        <is>
          <t>evoluzione</t>
        </is>
      </c>
      <c r="E32" s="23" t="inlineStr">
        <is>
          <t>Fuori scope ora (scelta di partire leggeri)</t>
        </is>
      </c>
    </row>
    <row r="33" ht="18" customHeight="1">
      <c r="A33" s="22" t="inlineStr">
        <is>
          <t>G) CATALOGO SERVIZI — leggero (incluso, §18.6)</t>
        </is>
      </c>
    </row>
    <row r="34">
      <c r="A34" s="23" t="inlineStr">
        <is>
          <t>servizio</t>
        </is>
      </c>
      <c r="B34" s="23" t="inlineStr">
        <is>
          <t>template di sforzo per tipo progetto</t>
        </is>
      </c>
      <c r="C34" s="23" t="inlineStr">
        <is>
          <t>catalogo</t>
        </is>
      </c>
      <c r="D34" s="23" t="inlineStr">
        <is>
          <t>ERP</t>
        </is>
      </c>
      <c r="E34" s="23" t="inlineStr">
        <is>
          <t>5 tipi §4.4: Social/Sito/Gestione Web/Produzione/Stand</t>
        </is>
      </c>
    </row>
    <row r="35">
      <c r="A35" s="23" t="inlineStr">
        <is>
          <t>Template effort</t>
        </is>
      </c>
      <c r="B35" s="23" t="inlineStr">
        <is>
          <t>ore per ruolo + prezzo_base</t>
        </is>
      </c>
      <c r="C35" s="23" t="inlineStr">
        <is>
          <t>—</t>
        </is>
      </c>
      <c r="D35" s="23" t="inlineStr">
        <is>
          <t>ERP</t>
        </is>
      </c>
      <c r="E35" s="23" t="inlineStr">
        <is>
          <t>Placeholder editabili; migliora con lo storico</t>
        </is>
      </c>
    </row>
    <row r="36">
      <c r="A36" s="23" t="inlineStr">
        <is>
          <t>Righe libere</t>
        </is>
      </c>
      <c r="B36" s="23" t="inlineStr">
        <is>
          <t>sempre ammesse</t>
        </is>
      </c>
      <c r="C36" s="23" t="inlineStr">
        <is>
          <t>—</t>
        </is>
      </c>
      <c r="D36" s="23" t="inlineStr">
        <is>
          <t>—</t>
        </is>
      </c>
      <c r="E36" s="23" t="inlineStr">
        <is>
          <t>Il catalogo velocizza, non ingabbia</t>
        </is>
      </c>
    </row>
    <row r="37" ht="18" customHeight="1">
      <c r="A37" s="22" t="inlineStr">
        <is>
          <t>H) ENTITÀ DA PERSISTERE (§18.7)</t>
        </is>
      </c>
    </row>
    <row r="38">
      <c r="A38" s="24" t="inlineStr">
        <is>
          <t>preventivo (testata)</t>
        </is>
      </c>
      <c r="B38" s="24" t="inlineStr">
        <is>
          <t>cliente_id, stato, modalita_prezzo, prezzo, margine, markup, valido_fino, note</t>
        </is>
      </c>
      <c r="C38" s="24" t="inlineStr">
        <is>
          <t>dimensione</t>
        </is>
      </c>
      <c r="D38" s="24" t="inlineStr">
        <is>
          <t>ERP</t>
        </is>
      </c>
      <c r="E38" s="24" t="inlineStr">
        <is>
          <t>stato: bozza / offerta / accettato / perso</t>
        </is>
      </c>
    </row>
    <row r="39">
      <c r="A39" s="23" t="inlineStr">
        <is>
          <t>preventivo_riga</t>
        </is>
      </c>
      <c r="B39" s="23" t="inlineStr">
        <is>
          <t>tipo(lavoro/socio/esterno/overhead), servizio_id, risorsa_id/ruolo, ore, tariffa, costo, ricarico, prezzo_riga</t>
        </is>
      </c>
      <c r="C39" s="23" t="inlineStr">
        <is>
          <t>1:N</t>
        </is>
      </c>
      <c r="D39" s="23" t="inlineStr">
        <is>
          <t>ERP</t>
        </is>
      </c>
      <c r="E39" s="23" t="inlineStr">
        <is>
          <t>Le tre meccaniche di §18.2</t>
        </is>
      </c>
    </row>
    <row r="40">
      <c r="A40" s="23" t="inlineStr">
        <is>
          <t>servizio (catalogo)</t>
        </is>
      </c>
      <c r="B40" s="23" t="inlineStr">
        <is>
          <t>nome, tipo_progetto, template_effort(ore per ruolo), prezzo_base</t>
        </is>
      </c>
      <c r="C40" s="23" t="inlineStr">
        <is>
          <t>dimensione</t>
        </is>
      </c>
      <c r="D40" s="23" t="inlineStr">
        <is>
          <t>ERP</t>
        </is>
      </c>
      <c r="E40" s="23" t="inlineStr">
        <is>
          <t>Riuso coi tipi progetto</t>
        </is>
      </c>
    </row>
    <row r="41">
      <c r="A41" s="23" t="inlineStr">
        <is>
          <t>Tariffe</t>
        </is>
      </c>
      <c r="B41" s="23" t="inlineStr">
        <is>
          <t>dipendenti = costo_orario reale · soci (v1) = quota progettuale ripartita per peso (non tariffa)</t>
        </is>
      </c>
      <c r="C41" s="23" t="inlineStr">
        <is>
          <t>—</t>
        </is>
      </c>
      <c r="D41" s="23" t="inlineStr">
        <is>
          <t>—</t>
        </is>
      </c>
      <c r="E41" s="23" t="inlineStr">
        <is>
          <t>Tariffa figurativa socio: oggi riferimento di capacità; candidata a base di costing in v2 (e pricing, review §3.7)</t>
        </is>
      </c>
    </row>
    <row r="42" ht="18" customHeight="1">
      <c r="A42" s="22" t="inlineStr">
        <is>
          <t>I) CHIUSURA DEI LOOP (§18.8)</t>
        </is>
      </c>
    </row>
    <row r="43">
      <c r="A43" s="23" t="inlineStr">
        <is>
          <t>Accettato → Commessa</t>
        </is>
      </c>
      <c r="B43" s="23" t="inlineStr">
        <is>
          <t>accordo_economico = prezzo; righe lavoro = budget-ore pianificato</t>
        </is>
      </c>
      <c r="C43" s="23" t="inlineStr">
        <is>
          <t>—</t>
        </is>
      </c>
      <c r="D43" s="23" t="inlineStr">
        <is>
          <t>automazione</t>
        </is>
      </c>
      <c r="E43" s="23" t="inlineStr">
        <is>
          <t>Confronto ex-post con marginalità reale §4.5</t>
        </is>
      </c>
    </row>
    <row r="44">
      <c r="A44" s="23" t="inlineStr">
        <is>
          <t>Offerta → Forecast</t>
        </is>
      </c>
      <c r="B44" s="23" t="inlineStr">
        <is>
          <t>entra nella pipeline ponderata</t>
        </is>
      </c>
      <c r="C44" s="23" t="inlineStr">
        <is>
          <t>asse pipeline</t>
        </is>
      </c>
      <c r="D44" s="23" t="inlineStr">
        <is>
          <t>collegamento</t>
        </is>
      </c>
      <c r="E44" s="23" t="inlineStr">
        <is>
          <t>§13.2 nuovo business</t>
        </is>
      </c>
    </row>
    <row r="45">
      <c r="A45" s="23" t="inlineStr">
        <is>
          <t>Perso → Storico</t>
        </is>
      </c>
      <c r="B45" s="23" t="inlineStr">
        <is>
          <t>tasso di conversione</t>
        </is>
      </c>
      <c r="C45" s="23" t="inlineStr">
        <is>
          <t>—</t>
        </is>
      </c>
      <c r="D45" s="23" t="inlineStr">
        <is>
          <t>collegamento</t>
        </is>
      </c>
      <c r="E45" s="23" t="inlineStr">
        <is>
          <t>Input a prob_pipeline (§13)</t>
        </is>
      </c>
    </row>
    <row r="46" ht="18" customHeight="1">
      <c r="A46" s="22" t="inlineStr">
        <is>
          <t>J) PARAMETRI / DECISIONI APERTE (§17)</t>
        </is>
      </c>
    </row>
    <row r="47">
      <c r="A47" s="23" t="inlineStr">
        <is>
          <t>markup default + base</t>
        </is>
      </c>
      <c r="B47" s="23" t="inlineStr">
        <is>
          <t>% e su cosa (solo lavoro vs costo pieno)</t>
        </is>
      </c>
      <c r="C47" s="23" t="inlineStr">
        <is>
          <t>—</t>
        </is>
      </c>
      <c r="D47" s="23" t="inlineStr">
        <is>
          <t>—</t>
        </is>
      </c>
      <c r="E47" s="23" t="inlineStr"/>
    </row>
    <row r="48">
      <c r="A48" s="23" t="inlineStr">
        <is>
          <t>base allocazione OVH nel preventivo</t>
        </is>
      </c>
      <c r="B48" s="23" t="inlineStr">
        <is>
          <t>% su PREZZO (coerente con base-ricavi a consuntivo §4.5) — DECISO</t>
        </is>
      </c>
      <c r="C48" s="23" t="inlineStr">
        <is>
          <t>—</t>
        </is>
      </c>
      <c r="D48" s="23" t="inlineStr">
        <is>
          <t>—</t>
        </is>
      </c>
      <c r="E48" s="23" t="inlineStr"/>
    </row>
    <row r="49">
      <c r="A49" s="23" t="inlineStr">
        <is>
          <t>tariffa figurativa socio</t>
        </is>
      </c>
      <c r="B49" s="23" t="inlineStr">
        <is>
          <t>usare o no, solo per capacità</t>
        </is>
      </c>
      <c r="C49" s="23" t="inlineStr">
        <is>
          <t>—</t>
        </is>
      </c>
      <c r="D49" s="23" t="inlineStr">
        <is>
          <t>—</t>
        </is>
      </c>
      <c r="E49" s="23" t="inlineStr">
        <is>
          <t>Solo capacità in v1; base di costing/margine in v2 (tariffa standard)</t>
        </is>
      </c>
    </row>
    <row r="50">
      <c r="A50" s="23" t="inlineStr">
        <is>
          <t>fonte % impegnata</t>
        </is>
      </c>
      <c r="B50" s="23" t="inlineStr">
        <is>
          <t>manuale per ora</t>
        </is>
      </c>
      <c r="C50" s="23" t="inlineStr">
        <is>
          <t>—</t>
        </is>
      </c>
      <c r="D50" s="23" t="inlineStr">
        <is>
          <t>—</t>
        </is>
      </c>
      <c r="E50" s="23" t="inlineStr">
        <is>
          <t>Fino al registro forward</t>
        </is>
      </c>
    </row>
    <row r="51">
      <c r="A51" s="23" t="inlineStr">
        <is>
          <t>valori effort template</t>
        </is>
      </c>
      <c r="B51" s="23" t="inlineStr">
        <is>
          <t>ore per ruolo per tipo</t>
        </is>
      </c>
      <c r="C51" s="23" t="inlineStr">
        <is>
          <t>—</t>
        </is>
      </c>
      <c r="D51" s="23" t="inlineStr">
        <is>
          <t>—</t>
        </is>
      </c>
      <c r="E51" s="23" t="inlineStr">
        <is>
          <t>Da popolare con lo storico</t>
        </is>
      </c>
    </row>
  </sheetData>
  <mergeCells count="12">
    <mergeCell ref="A24:E24"/>
    <mergeCell ref="A2:E2"/>
    <mergeCell ref="A10:E10"/>
    <mergeCell ref="A28:E28"/>
    <mergeCell ref="A42:E42"/>
    <mergeCell ref="A33:E33"/>
    <mergeCell ref="A1:E1"/>
    <mergeCell ref="A5:E5"/>
    <mergeCell ref="A37:E37"/>
    <mergeCell ref="A13:E13"/>
    <mergeCell ref="A46:E46"/>
    <mergeCell ref="A18:E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20" customWidth="1" min="4" max="4"/>
    <col width="26" customWidth="1" min="5" max="5"/>
    <col width="12" customWidth="1" min="6" max="6"/>
    <col width="26" customWidth="1" min="7" max="7"/>
    <col width="26" customWidth="1" min="8" max="8"/>
  </cols>
  <sheetData>
    <row r="1">
      <c r="A1" s="25" t="inlineStr">
        <is>
          <t>Registro Parametri — configurazione centralizzata (Dimensione, §19). Effective-dated (valido_da). Default globale + override d'entità. NIENTE segreti (env).</t>
        </is>
      </c>
    </row>
    <row r="3">
      <c r="A3" s="25" t="inlineStr">
        <is>
          <t>Gruppo</t>
        </is>
      </c>
      <c r="B3" s="25" t="inlineStr">
        <is>
          <t>Chiave</t>
        </is>
      </c>
      <c r="C3" s="25" t="inlineStr">
        <is>
          <t>Descrizione</t>
        </is>
      </c>
      <c r="D3" s="25" t="inlineStr">
        <is>
          <t>Tipo</t>
        </is>
      </c>
      <c r="E3" s="25" t="inlineStr">
        <is>
          <t>Valore default (2026)</t>
        </is>
      </c>
      <c r="F3" s="25" t="inlineStr">
        <is>
          <t>valido_da</t>
        </is>
      </c>
      <c r="G3" s="25" t="inlineStr">
        <is>
          <t>Scope / override</t>
        </is>
      </c>
      <c r="H3" s="25" t="inlineStr">
        <is>
          <t>Fonte / nota</t>
        </is>
      </c>
    </row>
    <row r="4">
      <c r="A4" s="25" t="inlineStr">
        <is>
          <t>Fiscalità</t>
        </is>
      </c>
      <c r="B4" t="inlineStr">
        <is>
          <t>iva_regime</t>
        </is>
      </c>
      <c r="C4" t="inlineStr">
        <is>
          <t>IVA per cassa (regime)</t>
        </is>
      </c>
      <c r="D4" t="inlineStr">
        <is>
          <t>enum</t>
        </is>
      </c>
      <c r="E4" t="inlineStr">
        <is>
          <t>per_cassa</t>
        </is>
      </c>
      <c r="F4" t="inlineStr">
        <is>
          <t>2026-01-01</t>
        </is>
      </c>
      <c r="G4" t="inlineStr">
        <is>
          <t>globale</t>
        </is>
      </c>
      <c r="H4" t="inlineStr">
        <is>
          <t>Confermato</t>
        </is>
      </c>
    </row>
    <row r="5">
      <c r="A5" t="inlineStr">
        <is>
          <t>Fiscalità</t>
        </is>
      </c>
      <c r="B5" t="inlineStr">
        <is>
          <t>iva_periodicita</t>
        </is>
      </c>
      <c r="C5" t="inlineStr">
        <is>
          <t>Periodicità liquidazione IVA</t>
        </is>
      </c>
      <c r="D5" t="inlineStr">
        <is>
          <t>enum(mensile/trimestrale)</t>
        </is>
      </c>
      <c r="E5" t="inlineStr">
        <is>
          <t>trimestrale</t>
        </is>
      </c>
      <c r="F5" t="inlineStr">
        <is>
          <t>2026-01-01</t>
        </is>
      </c>
      <c r="G5" t="inlineStr">
        <is>
          <t>globale</t>
        </is>
      </c>
      <c r="H5" t="inlineStr">
        <is>
          <t>Per anno; 2027 rivedere</t>
        </is>
      </c>
    </row>
    <row r="6">
      <c r="A6" t="inlineStr">
        <is>
          <t>Fiscalità</t>
        </is>
      </c>
      <c r="B6" t="inlineStr">
        <is>
          <t>iva_date_versamento</t>
        </is>
      </c>
      <c r="C6" t="inlineStr">
        <is>
          <t>Date versamento IVA + maggiorazione</t>
        </is>
      </c>
      <c r="D6" t="inlineStr">
        <is>
          <t>date+%</t>
        </is>
      </c>
      <c r="E6" t="inlineStr">
        <is>
          <t>16/05·20/08·16/11·16/03; magg. 1%</t>
        </is>
      </c>
      <c r="F6" t="inlineStr">
        <is>
          <t>2026-01-01</t>
        </is>
      </c>
      <c r="G6" t="inlineStr">
        <is>
          <t>globale</t>
        </is>
      </c>
      <c r="H6" t="inlineStr">
        <is>
          <t>Confermare commercialista</t>
        </is>
      </c>
    </row>
    <row r="7">
      <c r="A7" t="inlineStr">
        <is>
          <t>Fiscalità</t>
        </is>
      </c>
      <c r="B7" t="inlineStr">
        <is>
          <t>iva_acconto_metodo</t>
        </is>
      </c>
      <c r="C7" t="inlineStr">
        <is>
          <t>Metodo acconto IVA (27/12)</t>
        </is>
      </c>
      <c r="D7" t="inlineStr">
        <is>
          <t>enum</t>
        </is>
      </c>
      <c r="E7" t="inlineStr">
        <is>
          <t>storico</t>
        </is>
      </c>
      <c r="F7" t="inlineStr">
        <is>
          <t>2026-01-01</t>
        </is>
      </c>
      <c r="G7" t="inlineStr">
        <is>
          <t>globale</t>
        </is>
      </c>
      <c r="H7" t="inlineStr">
        <is>
          <t>storico/previsionale/effettivo</t>
        </is>
      </c>
    </row>
    <row r="8">
      <c r="A8" t="inlineStr">
        <is>
          <t>Fiscalità</t>
        </is>
      </c>
      <c r="B8" t="inlineStr">
        <is>
          <t>irap_aliquota</t>
        </is>
      </c>
      <c r="C8" t="inlineStr">
        <is>
          <t>Aliquota IRAP</t>
        </is>
      </c>
      <c r="D8" t="inlineStr">
        <is>
          <t>%</t>
        </is>
      </c>
      <c r="E8" t="inlineStr">
        <is>
          <t>3,9 + magg. ER</t>
        </is>
      </c>
      <c r="F8" t="inlineStr">
        <is>
          <t>2026-01-01</t>
        </is>
      </c>
      <c r="G8" t="inlineStr">
        <is>
          <t>globale</t>
        </is>
      </c>
      <c r="H8" t="inlineStr">
        <is>
          <t>Verificare magg. Emilia-Romagna</t>
        </is>
      </c>
    </row>
    <row r="9">
      <c r="A9" t="inlineStr">
        <is>
          <t>Fiscalità</t>
        </is>
      </c>
      <c r="B9" t="inlineStr">
        <is>
          <t>irap_rettifiche_vpn</t>
        </is>
      </c>
      <c r="C9" t="inlineStr">
        <is>
          <t>Set rettifiche per VPN</t>
        </is>
      </c>
      <c r="D9" t="inlineStr">
        <is>
          <t>lista</t>
        </is>
      </c>
      <c r="E9" t="inlineStr">
        <is>
          <t>(da definire)</t>
        </is>
      </c>
      <c r="F9" t="inlineStr">
        <is>
          <t>2026-01-01</t>
        </is>
      </c>
      <c r="G9" t="inlineStr">
        <is>
          <t>globale</t>
        </is>
      </c>
      <c r="H9" t="inlineStr">
        <is>
          <t>Commercialista</t>
        </is>
      </c>
    </row>
    <row r="10">
      <c r="A10" t="inlineStr">
        <is>
          <t>Fiscalità</t>
        </is>
      </c>
      <c r="B10" t="inlineStr">
        <is>
          <t>irpef_scaglioni</t>
        </is>
      </c>
      <c r="C10" t="inlineStr">
        <is>
          <t>Scaglioni IRPEF + addizionali</t>
        </is>
      </c>
      <c r="D10" t="inlineStr">
        <is>
          <t>tabella</t>
        </is>
      </c>
      <c r="E10" t="inlineStr">
        <is>
          <t>2026 ER/Parma</t>
        </is>
      </c>
      <c r="F10" t="inlineStr">
        <is>
          <t>2026-01-01</t>
        </is>
      </c>
      <c r="G10" t="inlineStr">
        <is>
          <t>globale</t>
        </is>
      </c>
      <c r="H10" t="inlineStr">
        <is>
          <t>Cambiano per anno</t>
        </is>
      </c>
    </row>
    <row r="11">
      <c r="A11" t="inlineStr">
        <is>
          <t>Fiscalità</t>
        </is>
      </c>
      <c r="B11" t="inlineStr">
        <is>
          <t>aliquota_irpef_prudente</t>
        </is>
      </c>
      <c r="C11" t="inlineStr">
        <is>
          <t>Aliquota IRPEF prudente per la cassa</t>
        </is>
      </c>
      <c r="D11" t="inlineStr">
        <is>
          <t>%</t>
        </is>
      </c>
      <c r="E11" t="inlineStr">
        <is>
          <t>43 + addizionali</t>
        </is>
      </c>
      <c r="F11" t="inlineStr">
        <is>
          <t>2026-01-01</t>
        </is>
      </c>
      <c r="G11" t="inlineStr">
        <is>
          <t>globale + override per-socio</t>
        </is>
      </c>
      <c r="H11" t="inlineStr">
        <is>
          <t>Rilievo 3.6</t>
        </is>
      </c>
    </row>
    <row r="12">
      <c r="A12" t="inlineStr">
        <is>
          <t>Fiscalità</t>
        </is>
      </c>
      <c r="B12" t="inlineStr">
        <is>
          <t>inps_commercianti</t>
        </is>
      </c>
      <c r="C12" t="inlineStr">
        <is>
          <t>Minimale + aliquota INPS commercianti</t>
        </is>
      </c>
      <c r="D12" t="inlineStr">
        <is>
          <t>€/%</t>
        </is>
      </c>
      <c r="E12" t="inlineStr">
        <is>
          <t>(da confermare)</t>
        </is>
      </c>
      <c r="F12" t="inlineStr">
        <is>
          <t>2026-01-01</t>
        </is>
      </c>
      <c r="G12" t="inlineStr">
        <is>
          <t>globale</t>
        </is>
      </c>
      <c r="H12" t="inlineStr">
        <is>
          <t>+ se accomandante iscritto</t>
        </is>
      </c>
    </row>
    <row r="13">
      <c r="A13" t="inlineStr">
        <is>
          <t>Fiscalità</t>
        </is>
      </c>
      <c r="B13" t="inlineStr">
        <is>
          <t>ritenuta_aliquota_default</t>
        </is>
      </c>
      <c r="C13" t="inlineStr">
        <is>
          <t>Aliquota ritenuta professionisti</t>
        </is>
      </c>
      <c r="D13" t="inlineStr">
        <is>
          <t>%</t>
        </is>
      </c>
      <c r="E13" t="inlineStr">
        <is>
          <t>20</t>
        </is>
      </c>
      <c r="F13" t="inlineStr">
        <is>
          <t>2026-01-01</t>
        </is>
      </c>
      <c r="G13" t="inlineStr">
        <is>
          <t>globale + override fornitore</t>
        </is>
      </c>
      <c r="H13" t="inlineStr">
        <is>
          <t>Tipico</t>
        </is>
      </c>
    </row>
    <row r="14">
      <c r="A14" t="inlineStr">
        <is>
          <t>Fiscalità</t>
        </is>
      </c>
      <c r="B14" t="inlineStr">
        <is>
          <t>acconti_metodo_misura</t>
        </is>
      </c>
      <c r="C14" t="inlineStr">
        <is>
          <t>Metodo/misura/split acconti</t>
        </is>
      </c>
      <c r="D14" t="inlineStr">
        <is>
          <t>enum/%</t>
        </is>
      </c>
      <c r="E14" t="inlineStr">
        <is>
          <t>storico; 40/60</t>
        </is>
      </c>
      <c r="F14" t="inlineStr">
        <is>
          <t>2026-01-01</t>
        </is>
      </c>
      <c r="G14" t="inlineStr">
        <is>
          <t>globale</t>
        </is>
      </c>
      <c r="H14" t="inlineStr">
        <is>
          <t>Redditi + IRAP</t>
        </is>
      </c>
    </row>
    <row r="15">
      <c r="A15" t="inlineStr">
        <is>
          <t>Fiscalità</t>
        </is>
      </c>
      <c r="B15" t="inlineStr">
        <is>
          <t>proroghe_versamento</t>
        </is>
      </c>
      <c r="C15" t="inlineStr">
        <is>
          <t>Date proroghe (+0,40%)</t>
        </is>
      </c>
      <c r="D15" t="inlineStr">
        <is>
          <t>date</t>
        </is>
      </c>
      <c r="E15" t="inlineStr">
        <is>
          <t>~31/07</t>
        </is>
      </c>
      <c r="F15" t="inlineStr">
        <is>
          <t>2026-01-01</t>
        </is>
      </c>
      <c r="G15" t="inlineStr">
        <is>
          <t>globale</t>
        </is>
      </c>
      <c r="H15" t="inlineStr">
        <is>
          <t>Da confermare</t>
        </is>
      </c>
    </row>
    <row r="16">
      <c r="A16" t="inlineStr">
        <is>
          <t>Fiscalità</t>
        </is>
      </c>
      <c r="B16" t="inlineStr">
        <is>
          <t>bite_finanzia_tasse_soci</t>
        </is>
      </c>
      <c r="C16" t="inlineStr">
        <is>
          <t>Le tasse soci escono dai conti Bite?</t>
        </is>
      </c>
      <c r="D16" t="inlineStr">
        <is>
          <t>bool</t>
        </is>
      </c>
      <c r="E16" t="inlineStr">
        <is>
          <t>(da confermare)</t>
        </is>
      </c>
      <c r="F16" t="inlineStr">
        <is>
          <t>2026-01-01</t>
        </is>
      </c>
      <c r="G16" t="inlineStr">
        <is>
          <t>globale</t>
        </is>
      </c>
      <c r="H16" t="inlineStr">
        <is>
          <t>Guida impatta_cassa_bite</t>
        </is>
      </c>
    </row>
    <row r="17">
      <c r="A17" t="inlineStr">
        <is>
          <t>Fiscalità</t>
        </is>
      </c>
      <c r="B17" t="inlineStr">
        <is>
          <t>bollo_soglia</t>
        </is>
      </c>
      <c r="C17" t="inlineStr">
        <is>
          <t>Soglia bollo e-fatture esenti</t>
        </is>
      </c>
      <c r="D17" t="inlineStr">
        <is>
          <t>€</t>
        </is>
      </c>
      <c r="E17" t="inlineStr">
        <is>
          <t>77,47</t>
        </is>
      </c>
      <c r="F17" t="inlineStr">
        <is>
          <t>2026-01-01</t>
        </is>
      </c>
      <c r="G17" t="inlineStr">
        <is>
          <t>globale</t>
        </is>
      </c>
      <c r="H17" t="inlineStr">
        <is>
          <t>Marginale per Bite</t>
        </is>
      </c>
    </row>
    <row r="18">
      <c r="A18" t="inlineStr">
        <is>
          <t>Fiscalità</t>
        </is>
      </c>
      <c r="B18" t="inlineStr">
        <is>
          <t>tributi_codici</t>
        </is>
      </c>
      <c r="C18" t="inlineStr">
        <is>
          <t>Anagrafica codici tributo F24</t>
        </is>
      </c>
      <c r="D18" t="inlineStr">
        <is>
          <t>tabella</t>
        </is>
      </c>
      <c r="E18" t="inlineStr">
        <is>
          <t>(1040,3800,6031…)</t>
        </is>
      </c>
      <c r="F18" t="inlineStr">
        <is>
          <t>2026-01-01</t>
        </is>
      </c>
      <c r="G18" t="inlineStr">
        <is>
          <t>globale</t>
        </is>
      </c>
      <c r="H18" t="inlineStr">
        <is>
          <t>Popolare col commercialista</t>
        </is>
      </c>
    </row>
    <row r="19">
      <c r="A19" s="25" t="inlineStr">
        <is>
          <t>Tesoreria/Prev.</t>
        </is>
      </c>
      <c r="B19" t="inlineStr">
        <is>
          <t>cassa_soglia_sicurezza</t>
        </is>
      </c>
      <c r="C19" t="inlineStr">
        <is>
          <t>Soglia di sicurezza (cuscinetto)</t>
        </is>
      </c>
      <c r="D19" t="inlineStr">
        <is>
          <t>€</t>
        </is>
      </c>
      <c r="E19" t="inlineStr">
        <is>
          <t>(da definire)</t>
        </is>
      </c>
      <c r="F19" t="inlineStr">
        <is>
          <t>2026-01-01</t>
        </is>
      </c>
      <c r="G19" t="inlineStr">
        <is>
          <t>globale</t>
        </is>
      </c>
      <c r="H19" t="inlineStr">
        <is>
          <t>Alert 90gg e 12m</t>
        </is>
      </c>
    </row>
    <row r="20">
      <c r="A20" t="inlineStr">
        <is>
          <t>Tesoreria/Prev.</t>
        </is>
      </c>
      <c r="B20" t="inlineStr">
        <is>
          <t>match_tolleranza_importo</t>
        </is>
      </c>
      <c r="C20" t="inlineStr">
        <is>
          <t>Tolleranza importo nel matching</t>
        </is>
      </c>
      <c r="D20" t="inlineStr">
        <is>
          <t>€/%</t>
        </is>
      </c>
      <c r="E20" t="inlineStr">
        <is>
          <t>(da definire)</t>
        </is>
      </c>
      <c r="F20" t="inlineStr">
        <is>
          <t>2026-01-01</t>
        </is>
      </c>
      <c r="G20" t="inlineStr">
        <is>
          <t>globale</t>
        </is>
      </c>
      <c r="H20" t="inlineStr">
        <is>
          <t>Riconciliazione</t>
        </is>
      </c>
    </row>
    <row r="21">
      <c r="A21" t="inlineStr">
        <is>
          <t>Tesoreria/Prev.</t>
        </is>
      </c>
      <c r="B21" t="inlineStr">
        <is>
          <t>match_tetto_n1</t>
        </is>
      </c>
      <c r="C21" t="inlineStr">
        <is>
          <t>Tetto n. fatture per N:1</t>
        </is>
      </c>
      <c r="D21" t="inlineStr">
        <is>
          <t>int</t>
        </is>
      </c>
      <c r="E21" t="inlineStr">
        <is>
          <t>(da definire)</t>
        </is>
      </c>
      <c r="F21" t="inlineStr">
        <is>
          <t>2026-01-01</t>
        </is>
      </c>
      <c r="G21" t="inlineStr">
        <is>
          <t>globale</t>
        </is>
      </c>
      <c r="H21" t="inlineStr">
        <is>
          <t>Ricerca combinazioni</t>
        </is>
      </c>
    </row>
    <row r="22">
      <c r="A22" t="inlineStr">
        <is>
          <t>Tesoreria/Prev.</t>
        </is>
      </c>
      <c r="B22" t="inlineStr">
        <is>
          <t>orizzonte_previsione</t>
        </is>
      </c>
      <c r="C22" t="inlineStr">
        <is>
          <t>Orizzonti previsione</t>
        </is>
      </c>
      <c r="D22" t="inlineStr">
        <is>
          <t>enum</t>
        </is>
      </c>
      <c r="E22" t="inlineStr">
        <is>
          <t>90gg + 12m</t>
        </is>
      </c>
      <c r="F22" t="inlineStr">
        <is>
          <t>2026-01-01</t>
        </is>
      </c>
      <c r="G22" t="inlineStr">
        <is>
          <t>globale</t>
        </is>
      </c>
      <c r="H22" t="inlineStr">
        <is>
          <t>Parametrico</t>
        </is>
      </c>
    </row>
    <row r="23">
      <c r="A23" t="inlineStr">
        <is>
          <t>Tesoreria/Prev.</t>
        </is>
      </c>
      <c r="B23" t="inlineStr">
        <is>
          <t>iva_media_stima</t>
        </is>
      </c>
      <c r="C23" t="inlineStr">
        <is>
          <t>Aliquota IVA media per la stima</t>
        </is>
      </c>
      <c r="D23" t="inlineStr">
        <is>
          <t>%</t>
        </is>
      </c>
      <c r="E23" t="inlineStr">
        <is>
          <t>(da definire)</t>
        </is>
      </c>
      <c r="F23" t="inlineStr">
        <is>
          <t>2026-01-01</t>
        </is>
      </c>
      <c r="G23" t="inlineStr">
        <is>
          <t>globale</t>
        </is>
      </c>
      <c r="H23" t="inlineStr">
        <is>
          <t>Scorporo previsione</t>
        </is>
      </c>
    </row>
    <row r="24">
      <c r="A24" s="25" t="inlineStr">
        <is>
          <t>Budget/Forecast</t>
        </is>
      </c>
      <c r="B24" t="inlineStr">
        <is>
          <t>peso_runrate_vs_storico</t>
        </is>
      </c>
      <c r="C24" t="inlineStr">
        <is>
          <t>Peso run-rate vs storico</t>
        </is>
      </c>
      <c r="D24" t="inlineStr">
        <is>
          <t>%</t>
        </is>
      </c>
      <c r="E24" t="inlineStr">
        <is>
          <t>alto (storico immaturo)</t>
        </is>
      </c>
      <c r="F24" t="inlineStr">
        <is>
          <t>2026-01-01</t>
        </is>
      </c>
      <c r="G24" t="inlineStr">
        <is>
          <t>globale</t>
        </is>
      </c>
      <c r="H24" t="inlineStr">
        <is>
          <t>§13.5</t>
        </is>
      </c>
    </row>
    <row r="25">
      <c r="A25" t="inlineStr">
        <is>
          <t>Budget/Forecast</t>
        </is>
      </c>
      <c r="B25" t="inlineStr">
        <is>
          <t>prob_pipeline</t>
        </is>
      </c>
      <c r="C25" t="inlineStr">
        <is>
          <t>Stadi e probabilità pipeline</t>
        </is>
      </c>
      <c r="D25" t="inlineStr">
        <is>
          <t>tabella</t>
        </is>
      </c>
      <c r="E25" t="inlineStr">
        <is>
          <t>(da definire)</t>
        </is>
      </c>
      <c r="F25" t="inlineStr">
        <is>
          <t>2026-01-01</t>
        </is>
      </c>
      <c r="G25" t="inlineStr">
        <is>
          <t>globale</t>
        </is>
      </c>
      <c r="H25" t="inlineStr">
        <is>
          <t>Nuovo business</t>
        </is>
      </c>
    </row>
    <row r="26">
      <c r="A26" t="inlineStr">
        <is>
          <t>Budget/Forecast</t>
        </is>
      </c>
      <c r="B26" t="inlineStr">
        <is>
          <t>fattore_stabilita_map</t>
        </is>
      </c>
      <c r="C26" t="inlineStr">
        <is>
          <t>Mappa fattore stabilità</t>
        </is>
      </c>
      <c r="D26" t="inlineStr">
        <is>
          <t>tabella</t>
        </is>
      </c>
      <c r="E26" t="inlineStr">
        <is>
          <t>5→1.0 … 1→0.25</t>
        </is>
      </c>
      <c r="F26" t="inlineStr">
        <is>
          <t>2026-01-01</t>
        </is>
      </c>
      <c r="G26" t="inlineStr">
        <is>
          <t>globale + rating per-cliente</t>
        </is>
      </c>
      <c r="H26" t="inlineStr">
        <is>
          <t>§11.1</t>
        </is>
      </c>
    </row>
    <row r="27">
      <c r="A27" t="inlineStr">
        <is>
          <t>Budget/Forecast</t>
        </is>
      </c>
      <c r="B27" t="inlineStr">
        <is>
          <t>churn_atteso</t>
        </is>
      </c>
      <c r="C27" t="inlineStr">
        <is>
          <t>Churn atteso ricorrenti</t>
        </is>
      </c>
      <c r="D27" t="inlineStr">
        <is>
          <t>%</t>
        </is>
      </c>
      <c r="E27" t="inlineStr">
        <is>
          <t>(da definire)</t>
        </is>
      </c>
      <c r="F27" t="inlineStr">
        <is>
          <t>2026-01-01</t>
        </is>
      </c>
      <c r="G27" t="inlineStr">
        <is>
          <t>globale/per-cliente</t>
        </is>
      </c>
    </row>
    <row r="28">
      <c r="A28" t="inlineStr">
        <is>
          <t>Budget/Forecast</t>
        </is>
      </c>
      <c r="B28" t="inlineStr">
        <is>
          <t>fattore_stagionalita</t>
        </is>
      </c>
      <c r="C28" t="inlineStr">
        <is>
          <t>Vettore stagionalità 12 mesi</t>
        </is>
      </c>
      <c r="D28" t="inlineStr">
        <is>
          <t>vettore</t>
        </is>
      </c>
      <c r="E28" t="inlineStr">
        <is>
          <t>(basso peso)</t>
        </is>
      </c>
      <c r="F28" t="inlineStr">
        <is>
          <t>2026-01-01</t>
        </is>
      </c>
      <c r="G28" t="inlineStr">
        <is>
          <t>globale</t>
        </is>
      </c>
      <c r="H28" t="inlineStr">
        <is>
          <t>Spot/una tantum</t>
        </is>
      </c>
    </row>
    <row r="29">
      <c r="A29" t="inlineStr">
        <is>
          <t>Budget/Forecast</t>
        </is>
      </c>
      <c r="B29" t="inlineStr">
        <is>
          <t>frequenza_reforecast</t>
        </is>
      </c>
      <c r="C29" t="inlineStr">
        <is>
          <t>Frequenza re-forecast</t>
        </is>
      </c>
      <c r="D29" t="inlineStr">
        <is>
          <t>enum</t>
        </is>
      </c>
      <c r="E29" t="inlineStr">
        <is>
          <t>mensile</t>
        </is>
      </c>
      <c r="F29" t="inlineStr">
        <is>
          <t>2026-01-01</t>
        </is>
      </c>
      <c r="G29" t="inlineStr">
        <is>
          <t>globale</t>
        </is>
      </c>
      <c r="H29" t="inlineStr">
        <is>
          <t>Legato alla chiusura</t>
        </is>
      </c>
    </row>
    <row r="30">
      <c r="A30" s="25" t="inlineStr">
        <is>
          <t>Marginalità/OVH</t>
        </is>
      </c>
      <c r="B30" t="inlineStr">
        <is>
          <t>ovh_base</t>
        </is>
      </c>
      <c r="C30" t="inlineStr">
        <is>
          <t>Base ripartizione OVH</t>
        </is>
      </c>
      <c r="D30" t="inlineStr">
        <is>
          <t>enum</t>
        </is>
      </c>
      <c r="E30" t="inlineStr">
        <is>
          <t>ricavi (v1)</t>
        </is>
      </c>
      <c r="F30" t="inlineStr">
        <is>
          <t>2026-01-01</t>
        </is>
      </c>
      <c r="G30" t="inlineStr">
        <is>
          <t>globale</t>
        </is>
      </c>
      <c r="H30" t="inlineStr">
        <is>
          <t>v2 = costo-lavoro</t>
        </is>
      </c>
    </row>
    <row r="31">
      <c r="A31" t="inlineStr">
        <is>
          <t>Marginalità/OVH</t>
        </is>
      </c>
      <c r="B31" t="inlineStr">
        <is>
          <t>ovh_orizzonte</t>
        </is>
      </c>
      <c r="C31" t="inlineStr">
        <is>
          <t>Orizzonte coefficiente rolling</t>
        </is>
      </c>
      <c r="D31" t="inlineStr">
        <is>
          <t>mesi</t>
        </is>
      </c>
      <c r="E31" t="inlineStr">
        <is>
          <t>12</t>
        </is>
      </c>
      <c r="F31" t="inlineStr">
        <is>
          <t>2026-01-01</t>
        </is>
      </c>
      <c r="G31" t="inlineStr">
        <is>
          <t>globale</t>
        </is>
      </c>
      <c r="H31" t="inlineStr">
        <is>
          <t>Forward</t>
        </is>
      </c>
    </row>
    <row r="32">
      <c r="A32" t="inlineStr">
        <is>
          <t>Marginalità/OVH</t>
        </is>
      </c>
      <c r="B32" t="inlineStr">
        <is>
          <t>ovh_tetto_scostamento</t>
        </is>
      </c>
      <c r="C32" t="inlineStr">
        <is>
          <t>Tetto scostamento coeff. tra refresh</t>
        </is>
      </c>
      <c r="D32" t="inlineStr">
        <is>
          <t>%</t>
        </is>
      </c>
      <c r="E32" t="inlineStr">
        <is>
          <t>(da definire)</t>
        </is>
      </c>
      <c r="F32" t="inlineStr">
        <is>
          <t>2026-01-01</t>
        </is>
      </c>
      <c r="G32" t="inlineStr">
        <is>
          <t>globale</t>
        </is>
      </c>
      <c r="H32" t="inlineStr">
        <is>
          <t>Anti-oscillazione</t>
        </is>
      </c>
    </row>
    <row r="33">
      <c r="A33" s="25" t="inlineStr">
        <is>
          <t>Soci/Risorse</t>
        </is>
      </c>
      <c r="B33" t="inlineStr">
        <is>
          <t>intensita_scala</t>
        </is>
      </c>
      <c r="C33" t="inlineStr">
        <is>
          <t>Scala intensità S/M/L (punti)</t>
        </is>
      </c>
      <c r="D33" t="inlineStr">
        <is>
          <t>vettore</t>
        </is>
      </c>
      <c r="E33" t="inlineStr">
        <is>
          <t>1:2:4 (4/8/16h)</t>
        </is>
      </c>
      <c r="F33" t="inlineStr">
        <is>
          <t>2026-01-01</t>
        </is>
      </c>
      <c r="G33" t="inlineStr">
        <is>
          <t>globale</t>
        </is>
      </c>
      <c r="H33" t="inlineStr">
        <is>
          <t>Rilievo 3.1</t>
        </is>
      </c>
    </row>
    <row r="34">
      <c r="A34" t="inlineStr">
        <is>
          <t>Soci/Risorse</t>
        </is>
      </c>
      <c r="B34" t="inlineStr">
        <is>
          <t>override_pct_mensile</t>
        </is>
      </c>
      <c r="C34" t="inlineStr">
        <is>
          <t>Override % mensile soci attivo?</t>
        </is>
      </c>
      <c r="D34" t="inlineStr">
        <is>
          <t>bool</t>
        </is>
      </c>
      <c r="E34" t="inlineStr">
        <is>
          <t>off</t>
        </is>
      </c>
      <c r="F34" t="inlineStr">
        <is>
          <t>2026-01-01</t>
        </is>
      </c>
      <c r="G34" t="inlineStr">
        <is>
          <t>globale</t>
        </is>
      </c>
      <c r="H34" t="inlineStr">
        <is>
          <t>Valvola ad hoc</t>
        </is>
      </c>
    </row>
    <row r="35">
      <c r="A35" t="inlineStr">
        <is>
          <t>Soci/Risorse</t>
        </is>
      </c>
      <c r="B35" t="inlineStr">
        <is>
          <t>ore_nette_standard</t>
        </is>
      </c>
      <c r="C35" t="inlineStr">
        <is>
          <t>Settimane/festività per ore nette</t>
        </is>
      </c>
      <c r="D35" t="inlineStr">
        <is>
          <t>int</t>
        </is>
      </c>
      <c r="E35" t="inlineStr">
        <is>
          <t>(da definire)</t>
        </is>
      </c>
      <c r="F35" t="inlineStr">
        <is>
          <t>2026-01-01</t>
        </is>
      </c>
      <c r="G35" t="inlineStr">
        <is>
          <t>globale</t>
        </is>
      </c>
      <c r="H35" t="inlineStr">
        <is>
          <t>Capacità dipendenti</t>
        </is>
      </c>
    </row>
    <row r="36">
      <c r="A36" t="inlineStr">
        <is>
          <t>Soci/Risorse</t>
        </is>
      </c>
      <c r="B36" t="inlineStr">
        <is>
          <t>monte_ore_socio</t>
        </is>
      </c>
      <c r="C36" t="inlineStr">
        <is>
          <t>Monte-ore socio (capacità)</t>
        </is>
      </c>
      <c r="D36" t="inlineStr">
        <is>
          <t>int</t>
        </is>
      </c>
      <c r="E36" t="inlineStr">
        <is>
          <t>(da definire)</t>
        </is>
      </c>
      <c r="F36" t="inlineStr">
        <is>
          <t>2026-01-01</t>
        </is>
      </c>
      <c r="G36" t="inlineStr">
        <is>
          <t>globale + per-socio</t>
        </is>
      </c>
      <c r="H36" t="inlineStr">
        <is>
          <t>Soci non timbrano</t>
        </is>
      </c>
    </row>
    <row r="37">
      <c r="A37" t="inlineStr">
        <is>
          <t>Soci/Risorse</t>
        </is>
      </c>
      <c r="B37" t="inlineStr">
        <is>
          <t>ripartizione_competenza_default</t>
        </is>
      </c>
      <c r="C37" t="inlineStr">
        <is>
          <t>Ripartizione temporale costo (N mesi)</t>
        </is>
      </c>
      <c r="D37" t="inlineStr">
        <is>
          <t>int</t>
        </is>
      </c>
      <c r="E37" t="inlineStr">
        <is>
          <t>1</t>
        </is>
      </c>
      <c r="F37" t="inlineStr">
        <is>
          <t>2026-01-01</t>
        </is>
      </c>
      <c r="G37" t="inlineStr">
        <is>
          <t>globale + per-riga</t>
        </is>
      </c>
      <c r="H37" t="inlineStr">
        <is>
          <t>Risconto gestionale</t>
        </is>
      </c>
    </row>
    <row r="38">
      <c r="A38" s="25" t="inlineStr">
        <is>
          <t>Chiusura</t>
        </is>
      </c>
      <c r="B38" t="inlineStr">
        <is>
          <t>hard_lock_giorno</t>
        </is>
      </c>
      <c r="C38" t="inlineStr">
        <is>
          <t>Giorno hard lock del mese successivo</t>
        </is>
      </c>
      <c r="D38" t="inlineStr">
        <is>
          <t>int</t>
        </is>
      </c>
      <c r="E38" t="inlineStr">
        <is>
          <t>15</t>
        </is>
      </c>
      <c r="F38" t="inlineStr">
        <is>
          <t>2026-01-01</t>
        </is>
      </c>
      <c r="G38" t="inlineStr">
        <is>
          <t>globale</t>
        </is>
      </c>
      <c r="H38" t="inlineStr">
        <is>
          <t>Soft close a fine mese</t>
        </is>
      </c>
    </row>
    <row r="39">
      <c r="A39" s="25" t="inlineStr">
        <is>
          <t>Preventivatore</t>
        </is>
      </c>
      <c r="B39" t="inlineStr">
        <is>
          <t>markup_default</t>
        </is>
      </c>
      <c r="C39" t="inlineStr">
        <is>
          <t>Markup default + base</t>
        </is>
      </c>
      <c r="D39" t="inlineStr">
        <is>
          <t>%/enum</t>
        </is>
      </c>
      <c r="E39" t="inlineStr">
        <is>
          <t>(da definire); solo-lavoro vs pieno</t>
        </is>
      </c>
      <c r="F39" t="inlineStr">
        <is>
          <t>2026-01-01</t>
        </is>
      </c>
      <c r="G39" t="inlineStr">
        <is>
          <t>globale</t>
        </is>
      </c>
      <c r="H39" t="inlineStr">
        <is>
          <t>§18</t>
        </is>
      </c>
    </row>
    <row r="40">
      <c r="A40" t="inlineStr">
        <is>
          <t>Preventivatore</t>
        </is>
      </c>
      <c r="B40" t="inlineStr">
        <is>
          <t>ovh_preventivo_base</t>
        </is>
      </c>
      <c r="C40" t="inlineStr">
        <is>
          <t>Base allocazione OVH nel preventivo</t>
        </is>
      </c>
      <c r="D40" t="inlineStr">
        <is>
          <t>enum</t>
        </is>
      </c>
      <c r="E40" t="inlineStr">
        <is>
          <t>% su prezzo</t>
        </is>
      </c>
      <c r="F40" t="inlineStr">
        <is>
          <t>2026-01-01</t>
        </is>
      </c>
      <c r="G40" t="inlineStr">
        <is>
          <t>globale</t>
        </is>
      </c>
      <c r="H40" t="inlineStr">
        <is>
          <t>Coerente con base-ricavi</t>
        </is>
      </c>
    </row>
    <row r="41">
      <c r="A41" t="inlineStr">
        <is>
          <t>Preventivatore</t>
        </is>
      </c>
      <c r="B41" t="inlineStr">
        <is>
          <t>tariffa_figurativa_socio</t>
        </is>
      </c>
      <c r="C41" t="inlineStr">
        <is>
          <t>Tariffa figurativa socio</t>
        </is>
      </c>
      <c r="D41" t="inlineStr">
        <is>
          <t>€/h</t>
        </is>
      </c>
      <c r="E41" t="inlineStr">
        <is>
          <t>(solo capacità v1)</t>
        </is>
      </c>
      <c r="F41" t="inlineStr">
        <is>
          <t>2026-01-01</t>
        </is>
      </c>
      <c r="G41" t="inlineStr">
        <is>
          <t>globale</t>
        </is>
      </c>
      <c r="H41" t="inlineStr">
        <is>
          <t>Base costing in v2</t>
        </is>
      </c>
    </row>
    <row r="42">
      <c r="A42" t="inlineStr">
        <is>
          <t>Preventivatore</t>
        </is>
      </c>
      <c r="B42" t="inlineStr">
        <is>
          <t>fonte_pct_impegnata</t>
        </is>
      </c>
      <c r="C42" t="inlineStr">
        <is>
          <t>Fonte % impegnata capacità</t>
        </is>
      </c>
      <c r="D42" t="inlineStr">
        <is>
          <t>enum</t>
        </is>
      </c>
      <c r="E42" t="inlineStr">
        <is>
          <t>manuale</t>
        </is>
      </c>
      <c r="F42" t="inlineStr">
        <is>
          <t>2026-01-01</t>
        </is>
      </c>
      <c r="G42" t="inlineStr">
        <is>
          <t>globale</t>
        </is>
      </c>
      <c r="H42" t="inlineStr">
        <is>
          <t>Fino a registro forward</t>
        </is>
      </c>
    </row>
    <row r="43">
      <c r="A43" t="inlineStr">
        <is>
          <t>Preventivatore</t>
        </is>
      </c>
      <c r="B43" t="inlineStr">
        <is>
          <t>effort_template</t>
        </is>
      </c>
      <c r="C43" t="inlineStr">
        <is>
          <t>Valori effort per tipo progetto</t>
        </is>
      </c>
      <c r="D43" t="inlineStr">
        <is>
          <t>tabella</t>
        </is>
      </c>
      <c r="E43" t="inlineStr">
        <is>
          <t>placeholder</t>
        </is>
      </c>
      <c r="F43" t="inlineStr">
        <is>
          <t>2026-01-01</t>
        </is>
      </c>
      <c r="G43" t="inlineStr">
        <is>
          <t>globale</t>
        </is>
      </c>
      <c r="H43" t="inlineStr">
        <is>
          <t>Migliora con storico</t>
        </is>
      </c>
    </row>
    <row r="44">
      <c r="A44" s="25" t="inlineStr">
        <is>
          <t>Clienti</t>
        </is>
      </c>
      <c r="B44" t="inlineStr">
        <is>
          <t>termini_pagamento_default</t>
        </is>
      </c>
      <c r="C44" t="inlineStr">
        <is>
          <t>Termini pagamento default</t>
        </is>
      </c>
      <c r="D44" t="inlineStr">
        <is>
          <t>gg</t>
        </is>
      </c>
      <c r="E44" t="inlineStr">
        <is>
          <t>30</t>
        </is>
      </c>
      <c r="F44" t="inlineStr">
        <is>
          <t>2026-01-01</t>
        </is>
      </c>
      <c r="G44" t="inlineStr">
        <is>
          <t>globale + override per-cliente</t>
        </is>
      </c>
      <c r="H44" t="inlineStr">
        <is>
          <t>Genera scadenze</t>
        </is>
      </c>
    </row>
    <row r="45">
      <c r="A45" t="inlineStr">
        <is>
          <t>Clienti</t>
        </is>
      </c>
      <c r="B45" t="inlineStr">
        <is>
          <t>dso_campione_minimo</t>
        </is>
      </c>
      <c r="C45" t="inlineStr">
        <is>
          <t>Campione minimo per DSO cliente</t>
        </is>
      </c>
      <c r="D45" t="inlineStr">
        <is>
          <t>int</t>
        </is>
      </c>
      <c r="E45" t="inlineStr">
        <is>
          <t>5</t>
        </is>
      </c>
      <c r="F45" t="inlineStr">
        <is>
          <t>2026-01-01</t>
        </is>
      </c>
      <c r="G45" t="inlineStr">
        <is>
          <t>globale</t>
        </is>
      </c>
      <c r="H45" t="inlineStr">
        <is>
          <t>Sotto → DSO medio aziendale</t>
        </is>
      </c>
    </row>
    <row r="46">
      <c r="A46" t="inlineStr">
        <is>
          <t>Clienti</t>
        </is>
      </c>
      <c r="B46" t="inlineStr">
        <is>
          <t>dso_finestra</t>
        </is>
      </c>
      <c r="C46" t="inlineStr">
        <is>
          <t>Finestra DSO comportamentale</t>
        </is>
      </c>
      <c r="D46" t="inlineStr">
        <is>
          <t>mesi</t>
        </is>
      </c>
      <c r="E46" t="inlineStr">
        <is>
          <t>12 (rolling)</t>
        </is>
      </c>
      <c r="F46" t="inlineStr">
        <is>
          <t>2026-01-01</t>
        </is>
      </c>
      <c r="G46" t="inlineStr">
        <is>
          <t>globale</t>
        </is>
      </c>
    </row>
    <row r="48">
      <c r="A48" s="25" t="inlineStr">
        <is>
          <t>RISOLUZIONE (§19.4)</t>
        </is>
      </c>
      <c r="C48" t="inlineStr">
        <is>
          <t>Valore attivo per una data = riga con valido_da massimo ≤ data. Fiscali→data competenza/anno fiscale; operativi→oggi/operazione; forecast→mese proiettato. Periodo chiuso/snapshot congela. Override entità vince sul globale.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2026-06-23T14:30:39Z</dcterms:created>
  <dcterms:modified xmlns:dcterms="http://purl.org/dc/terms/" xmlns:xsi="http://www.w3.org/2001/XMLSchema-instance" xsi:type="dcterms:W3CDTF">2026-07-07T13:44:20Z</dcterms:modified>
</cp:coreProperties>
</file>